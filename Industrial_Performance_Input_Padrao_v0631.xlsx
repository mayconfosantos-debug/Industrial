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206879658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ao" sheetId="1" r:id="R51e1663538c5463b"/>
    <x:sheet xmlns:r="http://schemas.openxmlformats.org/officeDocument/2006/relationships" name="Qualidade" sheetId="2" r:id="Rc90b9c51212a4428"/>
    <x:sheet xmlns:r="http://schemas.openxmlformats.org/officeDocument/2006/relationships" name="Manutencao" sheetId="3" r:id="R78616fda07964b15"/>
    <x:sheet xmlns:r="http://schemas.openxmlformats.org/officeDocument/2006/relationships" name="Pessoas" sheetId="4" r:id="Rc6bbd115dc164b68"/>
    <x:sheet xmlns:r="http://schemas.openxmlformats.org/officeDocument/2006/relationships" name="Custos" sheetId="5" r:id="R85009bf632f944dd"/>
    <x:sheet xmlns:r="http://schemas.openxmlformats.org/officeDocument/2006/relationships" name="Metas" sheetId="6" r:id="R18a89a3565dd4934"/>
    <x:sheet xmlns:r="http://schemas.openxmlformats.org/officeDocument/2006/relationships" name="Padroes_Produto" sheetId="7" r:id="R8608f39f2e464c15"/>
    <x:sheet xmlns:r="http://schemas.openxmlformats.org/officeDocument/2006/relationships" name="Parametros_Diagnostico" sheetId="8" r:id="Rfe945d478e104f6d"/>
    <x:sheet xmlns:r="http://schemas.openxmlformats.org/officeDocument/2006/relationships" name="LEIA-ME" sheetId="9" r:id="Ra40b829814d0472f"/>
    <x:sheet xmlns:r="http://schemas.openxmlformats.org/officeDocument/2006/relationships" name="Responsaveis" sheetId="10" r:id="R95a57d38918b4dd5"/>
    <x:sheet xmlns:r="http://schemas.openxmlformats.org/officeDocument/2006/relationships" name="Alavancas_Simulador" sheetId="11" r:id="R12c76b05b451464b"/>
    <x:sheet xmlns:r="http://schemas.openxmlformats.org/officeDocument/2006/relationships" name="Premissas_Simulador" sheetId="12" r:id="Rf97a9aaa333e43d4"/>
    <x:sheet xmlns:r="http://schemas.openxmlformats.org/officeDocument/2006/relationships" name="DRE_Gerencial" sheetId="13" r:id="R17e1bff538bb4dbe"/>
    <x:sheet xmlns:r="http://schemas.openxmlformats.org/officeDocument/2006/relationships" name="Plano_Contas_DRE" sheetId="14" r:id="R55b7d50f4bf9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yyyy-mm-dd h:mm:ss"/>
    <x:numFmt numFmtId="165" formatCode="YYYY-MM-DD HH:MM:SS"/>
    <x:numFmt numFmtId="200" formatCode="0.0%"/>
    <x:numFmt numFmtId="201" formatCode="0.00"/>
    <x:numFmt numFmtId="202" formatCode="0.000"/>
    <x:numFmt numFmtId="203" formatCode="R$ #,##0.00"/>
    <x:numFmt numFmtId="204" formatCode="dd/mm/yyyy"/>
    <x:numFmt numFmtId="205" formatCode="R$ #,##0;[Red](R$ #,##0);-"/>
    <x:numFmt numFmtId="206" formatCode="#,##0"/>
    <x:numFmt numFmtId="207" formatCode="#,##0.00"/>
    <x:numFmt numFmtId="208" formatCode="0"/>
  </x:numFmts>
  <x:fonts count="12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9"/>
      <x:color rgb="FF10233F"/>
      <x:name val="Calibri"/>
    </x:font>
    <x:font>
      <x:b/>
      <x:sz val="15"/>
      <x:color rgb="FFFFFFFF"/>
      <x:name val="Calibri"/>
    </x:font>
    <x:font>
      <x:b/>
      <x:sz val="11"/>
      <x:color rgb="FF0B5FA5"/>
      <x:name val="Calibri"/>
    </x:font>
    <x:font>
      <x:sz val="10"/>
      <x:color rgb="FF10233F"/>
      <x:name val="Calibri"/>
    </x:font>
    <x:font>
      <x:b/>
      <x:sz val="11"/>
      <x:color rgb="FF12A66A"/>
      <x:name val="Calibri"/>
    </x:font>
    <x:font>
      <x:b/>
      <x:sz val="9"/>
      <x:color rgb="FF10233F"/>
      <x:name val="Calibri"/>
    </x:font>
    <x:font>
      <x:b/>
      <x:sz val="9"/>
      <x:color rgb="FFFFFFFF"/>
      <x:name val="Calibri"/>
    </x:font>
    <x:font>
      <x:b/>
      <x:sz val="10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071C31"/>
      </x:patternFill>
    </x:fill>
    <x:fill>
      <x:patternFill patternType="solid">
        <x:fgColor rgb="FFEAF6FE"/>
      </x:patternFill>
    </x:fill>
    <x:fill>
      <x:patternFill patternType="solid">
        <x:fgColor rgb="FFEAF8F2"/>
      </x:patternFill>
    </x:fill>
    <x:fill>
      <x:patternFill patternType="solid">
        <x:fgColor rgb="FF071C31"/>
      </x:patternFill>
    </x:fill>
    <x:fill>
      <x:patternFill patternType="solid">
        <x:fgColor rgb="FF071C31"/>
      </x:patternFill>
    </x:fill>
    <x:fill>
      <x:patternFill patternType="solid">
        <x:fgColor rgb="FF0B5FA5"/>
      </x:patternFill>
    </x:fill>
    <x:fill>
      <x:patternFill patternType="solid">
        <x:fgColor rgb="FF0B5FA5"/>
      </x:patternFill>
    </x:fill>
    <x:fill>
      <x:patternFill patternType="solid">
        <x:fgColor rgb="FF071C31"/>
      </x:patternFill>
    </x:fill>
  </x:fills>
  <x:borders count="24">
    <x:border/>
    <x:border>
      <x:left style="thin"/>
      <x:right style="thin"/>
      <x:top style="thin"/>
      <x:bottom style="thin"/>
    </x:border>
    <x:border/>
    <x:border>
      <x:left style="thin">
        <x:color rgb="FFDDE6EF"/>
      </x:left>
      <x:right style="thin"/>
      <x:top style="thin">
        <x:color rgb="FFDDE6EF"/>
      </x:top>
      <x:bottom style="thin"/>
    </x:border>
    <x:border>
      <x:left style="thin"/>
      <x:right style="thin"/>
      <x:top style="thin">
        <x:color rgb="FFDDE6EF"/>
      </x:top>
      <x:bottom style="thin"/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right style="thin">
        <x:color rgb="FFDDE6EF"/>
      </x:right>
      <x:top style="thin">
        <x:color rgb="FFDDE6EF"/>
      </x:top>
      <x:bottom style="thin">
        <x:color rgb="FFDDE6EF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0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17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0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17" xfId="0" applyNumberFormat="1" applyFont="1" applyFill="1" applyBorder="1" applyAlignment="1">
      <x:alignment vertical="top" wrapText="1"/>
    </x:xf>
    <x:xf numFmtId="0" fontId="3" fillId="2" borderId="19" xfId="0" applyNumberFormat="1" applyFont="1" applyFill="1" applyBorder="1" applyAlignment="1">
      <x:alignment horizontal="center" vertical="center"/>
    </x:xf>
    <x:xf numFmtId="0" fontId="3" fillId="2" borderId="2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2" xfId="0" applyNumberFormat="1" applyFont="1" applyFill="1" applyBorder="1"/>
    <x:xf numFmtId="0" fontId="8" fillId="5" borderId="2" xfId="0" applyNumberFormat="1" applyFont="1" applyFill="1" applyBorder="1"/>
    <x:xf numFmtId="0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9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4" fillId="0" xfId="0" applyNumberFormat="1" applyFont="1" applyFill="1" applyBorder="0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9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9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19" xfId="0" applyNumberFormat="1" applyFont="1" applyFill="1" applyBorder="1" applyAlignment="1">
      <x:alignment horizontal="center" vertic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200" fontId="4" fillId="0" xfId="0" applyNumberFormat="1" applyFont="1" applyFill="1" applyBorder="0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9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6" fontId="4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7" fontId="4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8" fontId="4" fillId="0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10" fillId="9" borderId="6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/>
    </x:xf>
    <x:xf numFmtId="0" fontId="3" fillId="9" borderId="5" xfId="0" applyNumberFormat="1" applyFont="1" applyFill="1" applyBorder="1" applyAlignment="1">
      <x:alignment horizontal="center" vertical="center"/>
    </x:xf>
    <x:xf numFmtId="0" fontId="3" fillId="9" borderId="6" xfId="0" applyNumberFormat="1" applyFont="1" applyFill="1" applyBorder="1" applyAlignment="1">
      <x:alignment horizontal="center" vertical="center"/>
    </x:xf>
    <x:xf numFmtId="0" fontId="10" fillId="9" borderId="19" xfId="0" applyNumberFormat="1" applyFont="1" applyFill="1" applyBorder="1" applyAlignment="1">
      <x:alignment horizontal="center" vertical="center"/>
    </x:xf>
    <x:xf numFmtId="0" fontId="10" fillId="9" borderId="5" xfId="0" applyNumberFormat="1" applyFont="1" applyFill="1" applyBorder="1" applyAlignment="1">
      <x:alignment horizontal="center" vertical="center"/>
    </x:xf>
    <x:xf numFmtId="0" fontId="10" fillId="9" borderId="6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6ae278ebc4bec" /><Relationship Type="http://schemas.openxmlformats.org/officeDocument/2006/relationships/theme" Target="/xl/theme/theme1.xml" Id="R824eb0b4e9c74c13" /><Relationship Type="http://schemas.openxmlformats.org/officeDocument/2006/relationships/sharedStrings" Target="/xl/sharedStrings.xml" Id="Rae69bd8dfc7341c6" /><Relationship Type="http://schemas.openxmlformats.org/officeDocument/2006/relationships/worksheet" Target="/xl/worksheets/sheet1.xml" Id="R51e1663538c5463b" /><Relationship Type="http://schemas.openxmlformats.org/officeDocument/2006/relationships/worksheet" Target="/xl/worksheets/sheet2.xml" Id="Rc90b9c51212a4428" /><Relationship Type="http://schemas.openxmlformats.org/officeDocument/2006/relationships/worksheet" Target="/xl/worksheets/sheet3.xml" Id="R78616fda07964b15" /><Relationship Type="http://schemas.openxmlformats.org/officeDocument/2006/relationships/worksheet" Target="/xl/worksheets/sheet4.xml" Id="Rc6bbd115dc164b68" /><Relationship Type="http://schemas.openxmlformats.org/officeDocument/2006/relationships/worksheet" Target="/xl/worksheets/sheet5.xml" Id="R85009bf632f944dd" /><Relationship Type="http://schemas.openxmlformats.org/officeDocument/2006/relationships/worksheet" Target="/xl/worksheets/sheet6.xml" Id="R18a89a3565dd4934" /><Relationship Type="http://schemas.openxmlformats.org/officeDocument/2006/relationships/worksheet" Target="/xl/worksheets/sheet7.xml" Id="R8608f39f2e464c15" /><Relationship Type="http://schemas.openxmlformats.org/officeDocument/2006/relationships/worksheet" Target="/xl/worksheets/sheet8.xml" Id="Rfe945d478e104f6d" /><Relationship Type="http://schemas.openxmlformats.org/officeDocument/2006/relationships/worksheet" Target="/xl/worksheets/sheet9.xml" Id="Ra40b829814d0472f" /><Relationship Type="http://schemas.openxmlformats.org/officeDocument/2006/relationships/worksheet" Target="/xl/worksheets/sheet10.xml" Id="R95a57d38918b4dd5" /><Relationship Type="http://schemas.openxmlformats.org/officeDocument/2006/relationships/worksheet" Target="/xl/worksheets/sheet11.xml" Id="R12c76b05b451464b" /><Relationship Type="http://schemas.openxmlformats.org/officeDocument/2006/relationships/worksheet" Target="/xl/worksheets/sheet12.xml" Id="Rf97a9aaa333e43d4" /><Relationship Type="http://schemas.openxmlformats.org/officeDocument/2006/relationships/worksheet" Target="/xl/worksheets/sheet13.xml" Id="R17e1bff538bb4dbe" /><Relationship Type="http://schemas.openxmlformats.org/officeDocument/2006/relationships/worksheet" Target="/xl/worksheets/sheet14.xml" Id="R55b7d50f4bf94a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Fabrica</x:t>
        </x:is>
      </x:c>
      <x:c r="C1" s="1" t="inlineStr">
        <x:is>
          <x:t xml:space="preserve">Linha</x:t>
        </x:is>
      </x:c>
      <x:c r="D1" s="1" t="inlineStr">
        <x:is>
          <x:t xml:space="preserve">Produto</x:t>
        </x:is>
      </x:c>
      <x:c r="E1" s="1" t="inlineStr">
        <x:is>
          <x:t xml:space="preserve">Planejado</x:t>
        </x:is>
      </x:c>
      <x:c r="F1" s="1" t="inlineStr">
        <x:is>
          <x:t xml:space="preserve">Realizado</x:t>
        </x:is>
      </x:c>
      <x:c r="G1" s="1" t="inlineStr">
        <x:is>
          <x:t xml:space="preserve">Horas_Disponiveis</x:t>
        </x:is>
      </x:c>
      <x:c r="H1" s="1" t="inlineStr">
        <x:is>
          <x:t xml:space="preserve">Horas_Paradas</x:t>
        </x:is>
      </x:c>
      <x:c r="I1" s="1" t="inlineStr">
        <x:is>
          <x:t xml:space="preserve">Velocidade_Real</x:t>
        </x:is>
      </x:c>
      <x:c r="J1" s="1" t="inlineStr">
        <x:is>
          <x:t xml:space="preserve">Velocidade_Nominal</x:t>
        </x:is>
      </x:c>
    </x:row>
    <x:row r="2">
      <x:c r="A2" s="2" t="n">
        <x:v>46235</x:v>
      </x:c>
      <x:c r="B2" t="inlineStr">
        <x:is>
          <x:t xml:space="preserve">Planta São Paulo</x:t>
        </x:is>
      </x:c>
      <x:c r="C2" t="inlineStr">
        <x:is>
          <x:t xml:space="preserve">Linha 1</x:t>
        </x:is>
      </x:c>
      <x:c r="D2" t="inlineStr">
        <x:is>
          <x:t xml:space="preserve">A</x:t>
        </x:is>
      </x:c>
      <x:c r="E2" t="n">
        <x:v>420</x:v>
      </x:c>
      <x:c r="F2" t="n">
        <x:v>420</x:v>
      </x:c>
      <x:c r="G2" t="n">
        <x:v>24</x:v>
      </x:c>
      <x:c r="H2" t="n">
        <x:v>0.9399999999999999</x:v>
      </x:c>
      <x:c r="I2" t="n">
        <x:v>55.66</x:v>
      </x:c>
      <x:c r="J2" t="n">
        <x:v>60</x:v>
      </x:c>
    </x:row>
    <x:row r="3">
      <x:c r="A3" s="2" t="n">
        <x:v>46235</x:v>
      </x:c>
      <x:c r="B3" t="inlineStr">
        <x:is>
          <x:t xml:space="preserve">Planta São Paulo</x:t>
        </x:is>
      </x:c>
      <x:c r="C3" t="inlineStr">
        <x:is>
          <x:t xml:space="preserve">Linha 2</x:t>
        </x:is>
      </x:c>
      <x:c r="D3" t="inlineStr">
        <x:is>
          <x:t xml:space="preserve">B</x:t>
        </x:is>
      </x:c>
      <x:c r="E3" t="n">
        <x:v>406</x:v>
      </x:c>
      <x:c r="F3" t="n">
        <x:v>375</x:v>
      </x:c>
      <x:c r="G3" t="n">
        <x:v>24</x:v>
      </x:c>
      <x:c r="H3" t="n">
        <x:v>1.43</x:v>
      </x:c>
      <x:c r="I3" t="n">
        <x:v>55.81</x:v>
      </x:c>
      <x:c r="J3" t="n">
        <x:v>58</x:v>
      </x:c>
    </x:row>
    <x:row r="4">
      <x:c r="A4" s="2" t="n">
        <x:v>46235</x:v>
      </x:c>
      <x:c r="B4" t="inlineStr">
        <x:is>
          <x:t xml:space="preserve">Planta São Paulo</x:t>
        </x:is>
      </x:c>
      <x:c r="C4" t="inlineStr">
        <x:is>
          <x:t xml:space="preserve">Linha 3</x:t>
        </x:is>
      </x:c>
      <x:c r="D4" t="inlineStr">
        <x:is>
          <x:t xml:space="preserve">C</x:t>
        </x:is>
      </x:c>
      <x:c r="E4" t="n">
        <x:v>350</x:v>
      </x:c>
      <x:c r="F4" t="n">
        <x:v>290</x:v>
      </x:c>
      <x:c r="G4" t="n">
        <x:v>24</x:v>
      </x:c>
      <x:c r="H4" t="n">
        <x:v>4.22</x:v>
      </x:c>
      <x:c r="I4" t="n">
        <x:v>46.79</x:v>
      </x:c>
      <x:c r="J4" t="n">
        <x:v>54</x:v>
      </x:c>
    </x:row>
    <x:row r="5">
      <x:c r="A5" s="2" t="n">
        <x:v>46235</x:v>
      </x:c>
      <x:c r="B5" t="inlineStr">
        <x:is>
          <x:t xml:space="preserve">Planta São Paulo</x:t>
        </x:is>
      </x:c>
      <x:c r="C5" t="inlineStr">
        <x:is>
          <x:t xml:space="preserve">Linha 4</x:t>
        </x:is>
      </x:c>
      <x:c r="D5" t="inlineStr">
        <x:is>
          <x:t xml:space="preserve">D</x:t>
        </x:is>
      </x:c>
      <x:c r="E5" t="n">
        <x:v>321</x:v>
      </x:c>
      <x:c r="F5" t="n">
        <x:v>293</x:v>
      </x:c>
      <x:c r="G5" t="n">
        <x:v>24</x:v>
      </x:c>
      <x:c r="H5" t="n">
        <x:v>1.24</x:v>
      </x:c>
      <x:c r="I5" t="n">
        <x:v>52.62</x:v>
      </x:c>
      <x:c r="J5" t="n">
        <x:v>55</x:v>
      </x:c>
    </x:row>
    <x:row r="6">
      <x:c r="A6" s="2" t="n">
        <x:v>46236</x:v>
      </x:c>
      <x:c r="B6" t="inlineStr">
        <x:is>
          <x:t xml:space="preserve">Planta São Paulo</x:t>
        </x:is>
      </x:c>
      <x:c r="C6" t="inlineStr">
        <x:is>
          <x:t xml:space="preserve">Linha 1</x:t>
        </x:is>
      </x:c>
      <x:c r="D6" t="inlineStr">
        <x:is>
          <x:t xml:space="preserve">A</x:t>
        </x:is>
      </x:c>
      <x:c r="E6" t="n">
        <x:v>388</x:v>
      </x:c>
      <x:c r="F6" t="n">
        <x:v>378</x:v>
      </x:c>
      <x:c r="G6" t="n">
        <x:v>24</x:v>
      </x:c>
      <x:c r="H6" t="n">
        <x:v>1.07</x:v>
      </x:c>
      <x:c r="I6" t="n">
        <x:v>57.17</x:v>
      </x:c>
      <x:c r="J6" t="n">
        <x:v>60</x:v>
      </x:c>
    </x:row>
    <x:row r="7">
      <x:c r="A7" s="2" t="n">
        <x:v>46236</x:v>
      </x:c>
      <x:c r="B7" t="inlineStr">
        <x:is>
          <x:t xml:space="preserve">Planta São Paulo</x:t>
        </x:is>
      </x:c>
      <x:c r="C7" t="inlineStr">
        <x:is>
          <x:t xml:space="preserve">Linha 2</x:t>
        </x:is>
      </x:c>
      <x:c r="D7" t="inlineStr">
        <x:is>
          <x:t xml:space="preserve">B</x:t>
        </x:is>
      </x:c>
      <x:c r="E7" t="n">
        <x:v>379</x:v>
      </x:c>
      <x:c r="F7" t="n">
        <x:v>347</x:v>
      </x:c>
      <x:c r="G7" t="n">
        <x:v>24</x:v>
      </x:c>
      <x:c r="H7" t="n">
        <x:v>2.44</x:v>
      </x:c>
      <x:c r="I7" t="n">
        <x:v>53.93</x:v>
      </x:c>
      <x:c r="J7" t="n">
        <x:v>58</x:v>
      </x:c>
    </x:row>
    <x:row r="8">
      <x:c r="A8" s="2" t="n">
        <x:v>46236</x:v>
      </x:c>
      <x:c r="B8" t="inlineStr">
        <x:is>
          <x:t xml:space="preserve">Planta São Paulo</x:t>
        </x:is>
      </x:c>
      <x:c r="C8" t="inlineStr">
        <x:is>
          <x:t xml:space="preserve">Linha 3</x:t>
        </x:is>
      </x:c>
      <x:c r="D8" t="inlineStr">
        <x:is>
          <x:t xml:space="preserve">C</x:t>
        </x:is>
      </x:c>
      <x:c r="E8" t="n">
        <x:v>354</x:v>
      </x:c>
      <x:c r="F8" t="n">
        <x:v>292</x:v>
      </x:c>
      <x:c r="G8" t="n">
        <x:v>24</x:v>
      </x:c>
      <x:c r="H8" t="n">
        <x:v>3.87</x:v>
      </x:c>
      <x:c r="I8" t="n">
        <x:v>48.69</x:v>
      </x:c>
      <x:c r="J8" t="n">
        <x:v>54</x:v>
      </x:c>
    </x:row>
    <x:row r="9">
      <x:c r="A9" s="2" t="n">
        <x:v>46236</x:v>
      </x:c>
      <x:c r="B9" t="inlineStr">
        <x:is>
          <x:t xml:space="preserve">Planta São Paulo</x:t>
        </x:is>
      </x:c>
      <x:c r="C9" t="inlineStr">
        <x:is>
          <x:t xml:space="preserve">Linha 4</x:t>
        </x:is>
      </x:c>
      <x:c r="D9" t="inlineStr">
        <x:is>
          <x:t xml:space="preserve">D</x:t>
        </x:is>
      </x:c>
      <x:c r="E9" t="n">
        <x:v>324</x:v>
      </x:c>
      <x:c r="F9" t="n">
        <x:v>307</x:v>
      </x:c>
      <x:c r="G9" t="n">
        <x:v>24</x:v>
      </x:c>
      <x:c r="H9" t="n">
        <x:v>2.07</x:v>
      </x:c>
      <x:c r="I9" t="n">
        <x:v>51.37</x:v>
      </x:c>
      <x:c r="J9" t="n">
        <x:v>55</x:v>
      </x:c>
    </x:row>
    <x:row r="10">
      <x:c r="A10" s="2" t="n">
        <x:v>46237</x:v>
      </x:c>
      <x:c r="B10" t="inlineStr">
        <x:is>
          <x:t xml:space="preserve">Planta São Paulo</x:t>
        </x:is>
      </x:c>
      <x:c r="C10" t="inlineStr">
        <x:is>
          <x:t xml:space="preserve">Linha 1</x:t>
        </x:is>
      </x:c>
      <x:c r="D10" t="inlineStr">
        <x:is>
          <x:t xml:space="preserve">A</x:t>
        </x:is>
      </x:c>
      <x:c r="E10" t="n">
        <x:v>405</x:v>
      </x:c>
      <x:c r="F10" t="n">
        <x:v>402</x:v>
      </x:c>
      <x:c r="G10" t="n">
        <x:v>24</x:v>
      </x:c>
      <x:c r="H10" t="n">
        <x:v>1.45</x:v>
      </x:c>
      <x:c r="I10" t="n">
        <x:v>56.72</x:v>
      </x:c>
      <x:c r="J10" t="n">
        <x:v>60</x:v>
      </x:c>
    </x:row>
    <x:row r="11">
      <x:c r="A11" s="2" t="n">
        <x:v>46237</x:v>
      </x:c>
      <x:c r="B11" t="inlineStr">
        <x:is>
          <x:t xml:space="preserve">Planta São Paulo</x:t>
        </x:is>
      </x:c>
      <x:c r="C11" t="inlineStr">
        <x:is>
          <x:t xml:space="preserve">Linha 2</x:t>
        </x:is>
      </x:c>
      <x:c r="D11" t="inlineStr">
        <x:is>
          <x:t xml:space="preserve">B</x:t>
        </x:is>
      </x:c>
      <x:c r="E11" t="n">
        <x:v>407</x:v>
      </x:c>
      <x:c r="F11" t="n">
        <x:v>374</x:v>
      </x:c>
      <x:c r="G11" t="n">
        <x:v>24</x:v>
      </x:c>
      <x:c r="H11" t="n">
        <x:v>1.92</x:v>
      </x:c>
      <x:c r="I11" t="n">
        <x:v>54.43</x:v>
      </x:c>
      <x:c r="J11" t="n">
        <x:v>58</x:v>
      </x:c>
    </x:row>
    <x:row r="12">
      <x:c r="A12" s="2" t="n">
        <x:v>46237</x:v>
      </x:c>
      <x:c r="B12" t="inlineStr">
        <x:is>
          <x:t xml:space="preserve">Planta São Paulo</x:t>
        </x:is>
      </x:c>
      <x:c r="C12" t="inlineStr">
        <x:is>
          <x:t xml:space="preserve">Linha 3</x:t>
        </x:is>
      </x:c>
      <x:c r="D12" t="inlineStr">
        <x:is>
          <x:t xml:space="preserve">C</x:t>
        </x:is>
      </x:c>
      <x:c r="E12" t="n">
        <x:v>354</x:v>
      </x:c>
      <x:c r="F12" t="n">
        <x:v>292</x:v>
      </x:c>
      <x:c r="G12" t="n">
        <x:v>24</x:v>
      </x:c>
      <x:c r="H12" t="n">
        <x:v>4.34</x:v>
      </x:c>
      <x:c r="I12" t="n">
        <x:v>50.15</x:v>
      </x:c>
      <x:c r="J12" t="n">
        <x:v>54</x:v>
      </x:c>
    </x:row>
    <x:row r="13">
      <x:c r="A13" s="2" t="n">
        <x:v>46237</x:v>
      </x:c>
      <x:c r="B13" t="inlineStr">
        <x:is>
          <x:t xml:space="preserve">Planta São Paulo</x:t>
        </x:is>
      </x:c>
      <x:c r="C13" t="inlineStr">
        <x:is>
          <x:t xml:space="preserve">Linha 4</x:t>
        </x:is>
      </x:c>
      <x:c r="D13" t="inlineStr">
        <x:is>
          <x:t xml:space="preserve">D</x:t>
        </x:is>
      </x:c>
      <x:c r="E13" t="n">
        <x:v>320</x:v>
      </x:c>
      <x:c r="F13" t="n">
        <x:v>290</x:v>
      </x:c>
      <x:c r="G13" t="n">
        <x:v>24</x:v>
      </x:c>
      <x:c r="H13" t="n">
        <x:v>1.94</x:v>
      </x:c>
      <x:c r="I13" t="n">
        <x:v>53.98</x:v>
      </x:c>
      <x:c r="J13" t="n">
        <x:v>55</x:v>
      </x:c>
    </x:row>
    <x:row r="14">
      <x:c r="A14" s="2" t="n">
        <x:v>46238</x:v>
      </x:c>
      <x:c r="B14" t="inlineStr">
        <x:is>
          <x:t xml:space="preserve">Planta São Paulo</x:t>
        </x:is>
      </x:c>
      <x:c r="C14" t="inlineStr">
        <x:is>
          <x:t xml:space="preserve">Linha 1</x:t>
        </x:is>
      </x:c>
      <x:c r="D14" t="inlineStr">
        <x:is>
          <x:t xml:space="preserve">A</x:t>
        </x:is>
      </x:c>
      <x:c r="E14" t="n">
        <x:v>415</x:v>
      </x:c>
      <x:c r="F14" t="n">
        <x:v>408</x:v>
      </x:c>
      <x:c r="G14" t="n">
        <x:v>24</x:v>
      </x:c>
      <x:c r="H14" t="n">
        <x:v>2.01</x:v>
      </x:c>
      <x:c r="I14" t="n">
        <x:v>56.36</x:v>
      </x:c>
      <x:c r="J14" t="n">
        <x:v>60</x:v>
      </x:c>
    </x:row>
    <x:row r="15">
      <x:c r="A15" s="2" t="n">
        <x:v>46238</x:v>
      </x:c>
      <x:c r="B15" t="inlineStr">
        <x:is>
          <x:t xml:space="preserve">Planta São Paulo</x:t>
        </x:is>
      </x:c>
      <x:c r="C15" t="inlineStr">
        <x:is>
          <x:t xml:space="preserve">Linha 2</x:t>
        </x:is>
      </x:c>
      <x:c r="D15" t="inlineStr">
        <x:is>
          <x:t xml:space="preserve">B</x:t>
        </x:is>
      </x:c>
      <x:c r="E15" t="n">
        <x:v>388</x:v>
      </x:c>
      <x:c r="F15" t="n">
        <x:v>351</x:v>
      </x:c>
      <x:c r="G15" t="n">
        <x:v>24</x:v>
      </x:c>
      <x:c r="H15" t="n">
        <x:v>1.79</x:v>
      </x:c>
      <x:c r="I15" t="n">
        <x:v>54.46</x:v>
      </x:c>
      <x:c r="J15" t="n">
        <x:v>58</x:v>
      </x:c>
    </x:row>
    <x:row r="16">
      <x:c r="A16" s="2" t="n">
        <x:v>46238</x:v>
      </x:c>
      <x:c r="B16" t="inlineStr">
        <x:is>
          <x:t xml:space="preserve">Planta São Paulo</x:t>
        </x:is>
      </x:c>
      <x:c r="C16" t="inlineStr">
        <x:is>
          <x:t xml:space="preserve">Linha 3</x:t>
        </x:is>
      </x:c>
      <x:c r="D16" t="inlineStr">
        <x:is>
          <x:t xml:space="preserve">C</x:t>
        </x:is>
      </x:c>
      <x:c r="E16" t="n">
        <x:v>360</x:v>
      </x:c>
      <x:c r="F16" t="n">
        <x:v>306</x:v>
      </x:c>
      <x:c r="G16" t="n">
        <x:v>24</x:v>
      </x:c>
      <x:c r="H16" t="n">
        <x:v>3.6</x:v>
      </x:c>
      <x:c r="I16" t="n">
        <x:v>50.02</x:v>
      </x:c>
      <x:c r="J16" t="n">
        <x:v>54</x:v>
      </x:c>
    </x:row>
    <x:row r="17">
      <x:c r="A17" s="2" t="n">
        <x:v>46238</x:v>
      </x:c>
      <x:c r="B17" t="inlineStr">
        <x:is>
          <x:t xml:space="preserve">Planta São Paulo</x:t>
        </x:is>
      </x:c>
      <x:c r="C17" t="inlineStr">
        <x:is>
          <x:t xml:space="preserve">Linha 4</x:t>
        </x:is>
      </x:c>
      <x:c r="D17" t="inlineStr">
        <x:is>
          <x:t xml:space="preserve">D</x:t>
        </x:is>
      </x:c>
      <x:c r="E17" t="n">
        <x:v>344</x:v>
      </x:c>
      <x:c r="F17" t="n">
        <x:v>299</x:v>
      </x:c>
      <x:c r="G17" t="n">
        <x:v>24</x:v>
      </x:c>
      <x:c r="H17" t="n">
        <x:v>0.78</x:v>
      </x:c>
      <x:c r="I17" t="n">
        <x:v>51.83</x:v>
      </x:c>
      <x:c r="J17" t="n">
        <x:v>55</x:v>
      </x:c>
    </x:row>
    <x:row r="18">
      <x:c r="A18" s="2" t="n">
        <x:v>46239</x:v>
      </x:c>
      <x:c r="B18" t="inlineStr">
        <x:is>
          <x:t xml:space="preserve">Planta São Paulo</x:t>
        </x:is>
      </x:c>
      <x:c r="C18" t="inlineStr">
        <x:is>
          <x:t xml:space="preserve">Linha 1</x:t>
        </x:is>
      </x:c>
      <x:c r="D18" t="inlineStr">
        <x:is>
          <x:t xml:space="preserve">A</x:t>
        </x:is>
      </x:c>
      <x:c r="E18" t="n">
        <x:v>448</x:v>
      </x:c>
      <x:c r="F18" t="n">
        <x:v>433</x:v>
      </x:c>
      <x:c r="G18" t="n">
        <x:v>24</x:v>
      </x:c>
      <x:c r="H18" t="n">
        <x:v>0.73</x:v>
      </x:c>
      <x:c r="I18" t="n">
        <x:v>57.31</x:v>
      </x:c>
      <x:c r="J18" t="n">
        <x:v>60</x:v>
      </x:c>
    </x:row>
    <x:row r="19">
      <x:c r="A19" s="2" t="n">
        <x:v>46239</x:v>
      </x:c>
      <x:c r="B19" t="inlineStr">
        <x:is>
          <x:t xml:space="preserve">Planta São Paulo</x:t>
        </x:is>
      </x:c>
      <x:c r="C19" t="inlineStr">
        <x:is>
          <x:t xml:space="preserve">Linha 2</x:t>
        </x:is>
      </x:c>
      <x:c r="D19" t="inlineStr">
        <x:is>
          <x:t xml:space="preserve">B</x:t>
        </x:is>
      </x:c>
      <x:c r="E19" t="n">
        <x:v>398</x:v>
      </x:c>
      <x:c r="F19" t="n">
        <x:v>381</x:v>
      </x:c>
      <x:c r="G19" t="n">
        <x:v>24</x:v>
      </x:c>
      <x:c r="H19" t="n">
        <x:v>1.18</x:v>
      </x:c>
      <x:c r="I19" t="n">
        <x:v>54.99</x:v>
      </x:c>
      <x:c r="J19" t="n">
        <x:v>58</x:v>
      </x:c>
    </x:row>
    <x:row r="20">
      <x:c r="A20" s="2" t="n">
        <x:v>46239</x:v>
      </x:c>
      <x:c r="B20" t="inlineStr">
        <x:is>
          <x:t xml:space="preserve">Planta São Paulo</x:t>
        </x:is>
      </x:c>
      <x:c r="C20" t="inlineStr">
        <x:is>
          <x:t xml:space="preserve">Linha 3</x:t>
        </x:is>
      </x:c>
      <x:c r="D20" t="inlineStr">
        <x:is>
          <x:t xml:space="preserve">C</x:t>
        </x:is>
      </x:c>
      <x:c r="E20" t="n">
        <x:v>363</x:v>
      </x:c>
      <x:c r="F20" t="n">
        <x:v>292</x:v>
      </x:c>
      <x:c r="G20" t="n">
        <x:v>24</x:v>
      </x:c>
      <x:c r="H20" t="n">
        <x:v>4.38</x:v>
      </x:c>
      <x:c r="I20" t="n">
        <x:v>48.86</x:v>
      </x:c>
      <x:c r="J20" t="n">
        <x:v>54</x:v>
      </x:c>
    </x:row>
    <x:row r="21">
      <x:c r="A21" s="2" t="n">
        <x:v>46239</x:v>
      </x:c>
      <x:c r="B21" t="inlineStr">
        <x:is>
          <x:t xml:space="preserve">Planta São Paulo</x:t>
        </x:is>
      </x:c>
      <x:c r="C21" t="inlineStr">
        <x:is>
          <x:t xml:space="preserve">Linha 4</x:t>
        </x:is>
      </x:c>
      <x:c r="D21" t="inlineStr">
        <x:is>
          <x:t xml:space="preserve">D</x:t>
        </x:is>
      </x:c>
      <x:c r="E21" t="n">
        <x:v>320</x:v>
      </x:c>
      <x:c r="F21" t="n">
        <x:v>283</x:v>
      </x:c>
      <x:c r="G21" t="n">
        <x:v>24</x:v>
      </x:c>
      <x:c r="H21" t="n">
        <x:v>2.22</x:v>
      </x:c>
      <x:c r="I21" t="n">
        <x:v>49.32</x:v>
      </x:c>
      <x:c r="J21" t="n">
        <x:v>55</x:v>
      </x:c>
    </x:row>
    <x:row r="22">
      <x:c r="A22" s="2" t="n">
        <x:v>46240</x:v>
      </x:c>
      <x:c r="B22" t="inlineStr">
        <x:is>
          <x:t xml:space="preserve">Planta São Paulo</x:t>
        </x:is>
      </x:c>
      <x:c r="C22" t="inlineStr">
        <x:is>
          <x:t xml:space="preserve">Linha 1</x:t>
        </x:is>
      </x:c>
      <x:c r="D22" t="inlineStr">
        <x:is>
          <x:t xml:space="preserve">A</x:t>
        </x:is>
      </x:c>
      <x:c r="E22" t="n">
        <x:v>430</x:v>
      </x:c>
      <x:c r="F22" t="n">
        <x:v>414</x:v>
      </x:c>
      <x:c r="G22" t="n">
        <x:v>24</x:v>
      </x:c>
      <x:c r="H22" t="n">
        <x:v>1.57</x:v>
      </x:c>
      <x:c r="I22" t="n">
        <x:v>57.2</x:v>
      </x:c>
      <x:c r="J22" t="n">
        <x:v>60</x:v>
      </x:c>
    </x:row>
    <x:row r="23">
      <x:c r="A23" s="2" t="n">
        <x:v>46240</x:v>
      </x:c>
      <x:c r="B23" t="inlineStr">
        <x:is>
          <x:t xml:space="preserve">Planta São Paulo</x:t>
        </x:is>
      </x:c>
      <x:c r="C23" t="inlineStr">
        <x:is>
          <x:t xml:space="preserve">Linha 2</x:t>
        </x:is>
      </x:c>
      <x:c r="D23" t="inlineStr">
        <x:is>
          <x:t xml:space="preserve">B</x:t>
        </x:is>
      </x:c>
      <x:c r="E23" t="n">
        <x:v>389</x:v>
      </x:c>
      <x:c r="F23" t="n">
        <x:v>363</x:v>
      </x:c>
      <x:c r="G23" t="n">
        <x:v>24</x:v>
      </x:c>
      <x:c r="H23" t="n">
        <x:v>1.7</x:v>
      </x:c>
      <x:c r="I23" t="n">
        <x:v>53.69</x:v>
      </x:c>
      <x:c r="J23" t="n">
        <x:v>58</x:v>
      </x:c>
    </x:row>
    <x:row r="24">
      <x:c r="A24" s="2" t="n">
        <x:v>46240</x:v>
      </x:c>
      <x:c r="B24" t="inlineStr">
        <x:is>
          <x:t xml:space="preserve">Planta São Paulo</x:t>
        </x:is>
      </x:c>
      <x:c r="C24" t="inlineStr">
        <x:is>
          <x:t xml:space="preserve">Linha 3</x:t>
        </x:is>
      </x:c>
      <x:c r="D24" t="inlineStr">
        <x:is>
          <x:t xml:space="preserve">C</x:t>
        </x:is>
      </x:c>
      <x:c r="E24" t="n">
        <x:v>359</x:v>
      </x:c>
      <x:c r="F24" t="n">
        <x:v>290</x:v>
      </x:c>
      <x:c r="G24" t="n">
        <x:v>24</x:v>
      </x:c>
      <x:c r="H24" t="n">
        <x:v>3.42</x:v>
      </x:c>
      <x:c r="I24" t="n">
        <x:v>46.88</x:v>
      </x:c>
      <x:c r="J24" t="n">
        <x:v>54</x:v>
      </x:c>
    </x:row>
    <x:row r="25">
      <x:c r="A25" s="2" t="n">
        <x:v>46240</x:v>
      </x:c>
      <x:c r="B25" t="inlineStr">
        <x:is>
          <x:t xml:space="preserve">Planta São Paulo</x:t>
        </x:is>
      </x:c>
      <x:c r="C25" t="inlineStr">
        <x:is>
          <x:t xml:space="preserve">Linha 4</x:t>
        </x:is>
      </x:c>
      <x:c r="D25" t="inlineStr">
        <x:is>
          <x:t xml:space="preserve">D</x:t>
        </x:is>
      </x:c>
      <x:c r="E25" t="n">
        <x:v>340</x:v>
      </x:c>
      <x:c r="F25" t="n">
        <x:v>306</x:v>
      </x:c>
      <x:c r="G25" t="n">
        <x:v>24</x:v>
      </x:c>
      <x:c r="H25" t="n">
        <x:v>1.8</x:v>
      </x:c>
      <x:c r="I25" t="n">
        <x:v>51.48</x:v>
      </x:c>
      <x:c r="J25" t="n">
        <x:v>55</x:v>
      </x:c>
    </x:row>
    <x:row r="26">
      <x:c r="A26" s="2" t="n">
        <x:v>46241</x:v>
      </x:c>
      <x:c r="B26" t="inlineStr">
        <x:is>
          <x:t xml:space="preserve">Planta São Paulo</x:t>
        </x:is>
      </x:c>
      <x:c r="C26" t="inlineStr">
        <x:is>
          <x:t xml:space="preserve">Linha 1</x:t>
        </x:is>
      </x:c>
      <x:c r="D26" t="inlineStr">
        <x:is>
          <x:t xml:space="preserve">A</x:t>
        </x:is>
      </x:c>
      <x:c r="E26" t="n">
        <x:v>416</x:v>
      </x:c>
      <x:c r="F26" t="n">
        <x:v>395</x:v>
      </x:c>
      <x:c r="G26" t="n">
        <x:v>24</x:v>
      </x:c>
      <x:c r="H26" t="n">
        <x:v>0.62</x:v>
      </x:c>
      <x:c r="I26" t="n">
        <x:v>59.48</x:v>
      </x:c>
      <x:c r="J26" t="n">
        <x:v>60</x:v>
      </x:c>
    </x:row>
    <x:row r="27">
      <x:c r="A27" s="2" t="n">
        <x:v>46241</x:v>
      </x:c>
      <x:c r="B27" t="inlineStr">
        <x:is>
          <x:t xml:space="preserve">Planta São Paulo</x:t>
        </x:is>
      </x:c>
      <x:c r="C27" t="inlineStr">
        <x:is>
          <x:t xml:space="preserve">Linha 2</x:t>
        </x:is>
      </x:c>
      <x:c r="D27" t="inlineStr">
        <x:is>
          <x:t xml:space="preserve">B</x:t>
        </x:is>
      </x:c>
      <x:c r="E27" t="n">
        <x:v>406</x:v>
      </x:c>
      <x:c r="F27" t="n">
        <x:v>364</x:v>
      </x:c>
      <x:c r="G27" t="n">
        <x:v>24</x:v>
      </x:c>
      <x:c r="H27" t="n">
        <x:v>1.67</x:v>
      </x:c>
      <x:c r="I27" t="n">
        <x:v>54.18</x:v>
      </x:c>
      <x:c r="J27" t="n">
        <x:v>58</x:v>
      </x:c>
    </x:row>
    <x:row r="28">
      <x:c r="A28" s="2" t="n">
        <x:v>46241</x:v>
      </x:c>
      <x:c r="B28" t="inlineStr">
        <x:is>
          <x:t xml:space="preserve">Planta São Paulo</x:t>
        </x:is>
      </x:c>
      <x:c r="C28" t="inlineStr">
        <x:is>
          <x:t xml:space="preserve">Linha 3</x:t>
        </x:is>
      </x:c>
      <x:c r="D28" t="inlineStr">
        <x:is>
          <x:t xml:space="preserve">C</x:t>
        </x:is>
      </x:c>
      <x:c r="E28" t="n">
        <x:v>360</x:v>
      </x:c>
      <x:c r="F28" t="n">
        <x:v>299</x:v>
      </x:c>
      <x:c r="G28" t="n">
        <x:v>24</x:v>
      </x:c>
      <x:c r="H28" t="n">
        <x:v>3.35</x:v>
      </x:c>
      <x:c r="I28" t="n">
        <x:v>49.21</x:v>
      </x:c>
      <x:c r="J28" t="n">
        <x:v>54</x:v>
      </x:c>
    </x:row>
    <x:row r="29">
      <x:c r="A29" s="2" t="n">
        <x:v>46241</x:v>
      </x:c>
      <x:c r="B29" t="inlineStr">
        <x:is>
          <x:t xml:space="preserve">Planta São Paulo</x:t>
        </x:is>
      </x:c>
      <x:c r="C29" t="inlineStr">
        <x:is>
          <x:t xml:space="preserve">Linha 4</x:t>
        </x:is>
      </x:c>
      <x:c r="D29" t="inlineStr">
        <x:is>
          <x:t xml:space="preserve">D</x:t>
        </x:is>
      </x:c>
      <x:c r="E29" t="n">
        <x:v>328</x:v>
      </x:c>
      <x:c r="F29" t="n">
        <x:v>315</x:v>
      </x:c>
      <x:c r="G29" t="n">
        <x:v>24</x:v>
      </x:c>
      <x:c r="H29" t="n">
        <x:v>1.7</x:v>
      </x:c>
      <x:c r="I29" t="n">
        <x:v>52.65</x:v>
      </x:c>
      <x:c r="J29" t="n">
        <x:v>55</x:v>
      </x:c>
    </x:row>
    <x:row r="30">
      <x:c r="A30" s="2" t="n">
        <x:v>46242</x:v>
      </x:c>
      <x:c r="B30" t="inlineStr">
        <x:is>
          <x:t xml:space="preserve">Planta São Paulo</x:t>
        </x:is>
      </x:c>
      <x:c r="C30" t="inlineStr">
        <x:is>
          <x:t xml:space="preserve">Linha 1</x:t>
        </x:is>
      </x:c>
      <x:c r="D30" t="inlineStr">
        <x:is>
          <x:t xml:space="preserve">A</x:t>
        </x:is>
      </x:c>
      <x:c r="E30" t="n">
        <x:v>414</x:v>
      </x:c>
      <x:c r="F30" t="n">
        <x:v>417</x:v>
      </x:c>
      <x:c r="G30" t="n">
        <x:v>24</x:v>
      </x:c>
      <x:c r="H30" t="n">
        <x:v>0.92</x:v>
      </x:c>
      <x:c r="I30" t="n">
        <x:v>56.77</x:v>
      </x:c>
      <x:c r="J30" t="n">
        <x:v>60</x:v>
      </x:c>
    </x:row>
    <x:row r="31">
      <x:c r="A31" s="2" t="n">
        <x:v>46242</x:v>
      </x:c>
      <x:c r="B31" t="inlineStr">
        <x:is>
          <x:t xml:space="preserve">Planta São Paulo</x:t>
        </x:is>
      </x:c>
      <x:c r="C31" t="inlineStr">
        <x:is>
          <x:t xml:space="preserve">Linha 2</x:t>
        </x:is>
      </x:c>
      <x:c r="D31" t="inlineStr">
        <x:is>
          <x:t xml:space="preserve">B</x:t>
        </x:is>
      </x:c>
      <x:c r="E31" t="n">
        <x:v>394</x:v>
      </x:c>
      <x:c r="F31" t="n">
        <x:v>364</x:v>
      </x:c>
      <x:c r="G31" t="n">
        <x:v>24</x:v>
      </x:c>
      <x:c r="H31" t="n">
        <x:v>0.97</x:v>
      </x:c>
      <x:c r="I31" t="n">
        <x:v>56.48</x:v>
      </x:c>
      <x:c r="J31" t="n">
        <x:v>58</x:v>
      </x:c>
    </x:row>
    <x:row r="32">
      <x:c r="A32" s="2" t="n">
        <x:v>46242</x:v>
      </x:c>
      <x:c r="B32" t="inlineStr">
        <x:is>
          <x:t xml:space="preserve">Planta São Paulo</x:t>
        </x:is>
      </x:c>
      <x:c r="C32" t="inlineStr">
        <x:is>
          <x:t xml:space="preserve">Linha 3</x:t>
        </x:is>
      </x:c>
      <x:c r="D32" t="inlineStr">
        <x:is>
          <x:t xml:space="preserve">C</x:t>
        </x:is>
      </x:c>
      <x:c r="E32" t="n">
        <x:v>366</x:v>
      </x:c>
      <x:c r="F32" t="n">
        <x:v>312</x:v>
      </x:c>
      <x:c r="G32" t="n">
        <x:v>24</x:v>
      </x:c>
      <x:c r="H32" t="n">
        <x:v>4.3</x:v>
      </x:c>
      <x:c r="I32" t="n">
        <x:v>49.84</x:v>
      </x:c>
      <x:c r="J32" t="n">
        <x:v>54</x:v>
      </x:c>
    </x:row>
    <x:row r="33">
      <x:c r="A33" s="2" t="n">
        <x:v>46242</x:v>
      </x:c>
      <x:c r="B33" t="inlineStr">
        <x:is>
          <x:t xml:space="preserve">Planta São Paulo</x:t>
        </x:is>
      </x:c>
      <x:c r="C33" t="inlineStr">
        <x:is>
          <x:t xml:space="preserve">Linha 4</x:t>
        </x:is>
      </x:c>
      <x:c r="D33" t="inlineStr">
        <x:is>
          <x:t xml:space="preserve">D</x:t>
        </x:is>
      </x:c>
      <x:c r="E33" t="n">
        <x:v>349</x:v>
      </x:c>
      <x:c r="F33" t="n">
        <x:v>326</x:v>
      </x:c>
      <x:c r="G33" t="n">
        <x:v>24</x:v>
      </x:c>
      <x:c r="H33" t="n">
        <x:v>2.52</x:v>
      </x:c>
      <x:c r="I33" t="n">
        <x:v>54.83</x:v>
      </x:c>
      <x:c r="J33" t="n">
        <x:v>55</x:v>
      </x:c>
    </x:row>
    <x:row r="34">
      <x:c r="A34" s="2" t="n">
        <x:v>46243</x:v>
      </x:c>
      <x:c r="B34" t="inlineStr">
        <x:is>
          <x:t xml:space="preserve">Planta São Paulo</x:t>
        </x:is>
      </x:c>
      <x:c r="C34" t="inlineStr">
        <x:is>
          <x:t xml:space="preserve">Linha 1</x:t>
        </x:is>
      </x:c>
      <x:c r="D34" t="inlineStr">
        <x:is>
          <x:t xml:space="preserve">A</x:t>
        </x:is>
      </x:c>
      <x:c r="E34" t="n">
        <x:v>399</x:v>
      </x:c>
      <x:c r="F34" t="n">
        <x:v>405</x:v>
      </x:c>
      <x:c r="G34" t="n">
        <x:v>24</x:v>
      </x:c>
      <x:c r="H34" t="n">
        <x:v>0.49</x:v>
      </x:c>
      <x:c r="I34" t="n">
        <x:v>56.98</x:v>
      </x:c>
      <x:c r="J34" t="n">
        <x:v>60</x:v>
      </x:c>
    </x:row>
    <x:row r="35">
      <x:c r="A35" s="2" t="n">
        <x:v>46243</x:v>
      </x:c>
      <x:c r="B35" t="inlineStr">
        <x:is>
          <x:t xml:space="preserve">Planta São Paulo</x:t>
        </x:is>
      </x:c>
      <x:c r="C35" t="inlineStr">
        <x:is>
          <x:t xml:space="preserve">Linha 2</x:t>
        </x:is>
      </x:c>
      <x:c r="D35" t="inlineStr">
        <x:is>
          <x:t xml:space="preserve">B</x:t>
        </x:is>
      </x:c>
      <x:c r="E35" t="n">
        <x:v>365</x:v>
      </x:c>
      <x:c r="F35" t="n">
        <x:v>346</x:v>
      </x:c>
      <x:c r="G35" t="n">
        <x:v>24</x:v>
      </x:c>
      <x:c r="H35" t="n">
        <x:v>1.83</x:v>
      </x:c>
      <x:c r="I35" t="n">
        <x:v>54.74</x:v>
      </x:c>
      <x:c r="J35" t="n">
        <x:v>58</x:v>
      </x:c>
    </x:row>
    <x:row r="36">
      <x:c r="A36" s="2" t="n">
        <x:v>46243</x:v>
      </x:c>
      <x:c r="B36" t="inlineStr">
        <x:is>
          <x:t xml:space="preserve">Planta São Paulo</x:t>
        </x:is>
      </x:c>
      <x:c r="C36" t="inlineStr">
        <x:is>
          <x:t xml:space="preserve">Linha 3</x:t>
        </x:is>
      </x:c>
      <x:c r="D36" t="inlineStr">
        <x:is>
          <x:t xml:space="preserve">C</x:t>
        </x:is>
      </x:c>
      <x:c r="E36" t="n">
        <x:v>358</x:v>
      </x:c>
      <x:c r="F36" t="n">
        <x:v>287</x:v>
      </x:c>
      <x:c r="G36" t="n">
        <x:v>24</x:v>
      </x:c>
      <x:c r="H36" t="n">
        <x:v>2.81</x:v>
      </x:c>
      <x:c r="I36" t="n">
        <x:v>49.28</x:v>
      </x:c>
      <x:c r="J36" t="n">
        <x:v>54</x:v>
      </x:c>
    </x:row>
    <x:row r="37">
      <x:c r="A37" s="2" t="n">
        <x:v>46243</x:v>
      </x:c>
      <x:c r="B37" t="inlineStr">
        <x:is>
          <x:t xml:space="preserve">Planta São Paulo</x:t>
        </x:is>
      </x:c>
      <x:c r="C37" t="inlineStr">
        <x:is>
          <x:t xml:space="preserve">Linha 4</x:t>
        </x:is>
      </x:c>
      <x:c r="D37" t="inlineStr">
        <x:is>
          <x:t xml:space="preserve">D</x:t>
        </x:is>
      </x:c>
      <x:c r="E37" t="n">
        <x:v>330</x:v>
      </x:c>
      <x:c r="F37" t="n">
        <x:v>297</x:v>
      </x:c>
      <x:c r="G37" t="n">
        <x:v>24</x:v>
      </x:c>
      <x:c r="H37" t="n">
        <x:v>1.4</x:v>
      </x:c>
      <x:c r="I37" t="n">
        <x:v>51.03</x:v>
      </x:c>
      <x:c r="J37" t="n">
        <x:v>55</x:v>
      </x:c>
    </x:row>
    <x:row r="38">
      <x:c r="A38" s="2" t="n">
        <x:v>46244</x:v>
      </x:c>
      <x:c r="B38" t="inlineStr">
        <x:is>
          <x:t xml:space="preserve">Planta São Paulo</x:t>
        </x:is>
      </x:c>
      <x:c r="C38" t="inlineStr">
        <x:is>
          <x:t xml:space="preserve">Linha 1</x:t>
        </x:is>
      </x:c>
      <x:c r="D38" t="inlineStr">
        <x:is>
          <x:t xml:space="preserve">A</x:t>
        </x:is>
      </x:c>
      <x:c r="E38" t="n">
        <x:v>424</x:v>
      </x:c>
      <x:c r="F38" t="n">
        <x:v>446</x:v>
      </x:c>
      <x:c r="G38" t="n">
        <x:v>24</x:v>
      </x:c>
      <x:c r="H38" t="n">
        <x:v>0.26</x:v>
      </x:c>
      <x:c r="I38" t="n">
        <x:v>58.33</x:v>
      </x:c>
      <x:c r="J38" t="n">
        <x:v>60</x:v>
      </x:c>
    </x:row>
    <x:row r="39">
      <x:c r="A39" s="2" t="n">
        <x:v>46244</x:v>
      </x:c>
      <x:c r="B39" t="inlineStr">
        <x:is>
          <x:t xml:space="preserve">Planta São Paulo</x:t>
        </x:is>
      </x:c>
      <x:c r="C39" t="inlineStr">
        <x:is>
          <x:t xml:space="preserve">Linha 2</x:t>
        </x:is>
      </x:c>
      <x:c r="D39" t="inlineStr">
        <x:is>
          <x:t xml:space="preserve">B</x:t>
        </x:is>
      </x:c>
      <x:c r="E39" t="n">
        <x:v>373</x:v>
      </x:c>
      <x:c r="F39" t="n">
        <x:v>346</x:v>
      </x:c>
      <x:c r="G39" t="n">
        <x:v>24</x:v>
      </x:c>
      <x:c r="H39" t="n">
        <x:v>2.25</x:v>
      </x:c>
      <x:c r="I39" t="n">
        <x:v>54.98</x:v>
      </x:c>
      <x:c r="J39" t="n">
        <x:v>58</x:v>
      </x:c>
    </x:row>
    <x:row r="40">
      <x:c r="A40" s="2" t="n">
        <x:v>46244</x:v>
      </x:c>
      <x:c r="B40" t="inlineStr">
        <x:is>
          <x:t xml:space="preserve">Planta São Paulo</x:t>
        </x:is>
      </x:c>
      <x:c r="C40" t="inlineStr">
        <x:is>
          <x:t xml:space="preserve">Linha 3</x:t>
        </x:is>
      </x:c>
      <x:c r="D40" t="inlineStr">
        <x:is>
          <x:t xml:space="preserve">C</x:t>
        </x:is>
      </x:c>
      <x:c r="E40" t="n">
        <x:v>372</x:v>
      </x:c>
      <x:c r="F40" t="n">
        <x:v>309</x:v>
      </x:c>
      <x:c r="G40" t="n">
        <x:v>24</x:v>
      </x:c>
      <x:c r="H40" t="n">
        <x:v>2.48</x:v>
      </x:c>
      <x:c r="I40" t="n">
        <x:v>47.67</x:v>
      </x:c>
      <x:c r="J40" t="n">
        <x:v>54</x:v>
      </x:c>
    </x:row>
    <x:row r="41">
      <x:c r="A41" s="2" t="n">
        <x:v>46244</x:v>
      </x:c>
      <x:c r="B41" t="inlineStr">
        <x:is>
          <x:t xml:space="preserve">Planta São Paulo</x:t>
        </x:is>
      </x:c>
      <x:c r="C41" t="inlineStr">
        <x:is>
          <x:t xml:space="preserve">Linha 4</x:t>
        </x:is>
      </x:c>
      <x:c r="D41" t="inlineStr">
        <x:is>
          <x:t xml:space="preserve">D</x:t>
        </x:is>
      </x:c>
      <x:c r="E41" t="n">
        <x:v>335</x:v>
      </x:c>
      <x:c r="F41" t="n">
        <x:v>321</x:v>
      </x:c>
      <x:c r="G41" t="n">
        <x:v>24</x:v>
      </x:c>
      <x:c r="H41" t="n">
        <x:v>2.03</x:v>
      </x:c>
      <x:c r="I41" t="n">
        <x:v>50.64</x:v>
      </x:c>
      <x:c r="J41" t="n">
        <x:v>55</x:v>
      </x:c>
    </x:row>
    <x:row r="42">
      <x:c r="A42" s="2" t="n">
        <x:v>46245</x:v>
      </x:c>
      <x:c r="B42" t="inlineStr">
        <x:is>
          <x:t xml:space="preserve">Planta São Paulo</x:t>
        </x:is>
      </x:c>
      <x:c r="C42" t="inlineStr">
        <x:is>
          <x:t xml:space="preserve">Linha 1</x:t>
        </x:is>
      </x:c>
      <x:c r="D42" t="inlineStr">
        <x:is>
          <x:t xml:space="preserve">A</x:t>
        </x:is>
      </x:c>
      <x:c r="E42" t="n">
        <x:v>422</x:v>
      </x:c>
      <x:c r="F42" t="n">
        <x:v>418</x:v>
      </x:c>
      <x:c r="G42" t="n">
        <x:v>24</x:v>
      </x:c>
      <x:c r="H42" t="n">
        <x:v>1.07</x:v>
      </x:c>
      <x:c r="I42" t="n">
        <x:v>57.06</x:v>
      </x:c>
      <x:c r="J42" t="n">
        <x:v>60</x:v>
      </x:c>
    </x:row>
    <x:row r="43">
      <x:c r="A43" s="2" t="n">
        <x:v>46245</x:v>
      </x:c>
      <x:c r="B43" t="inlineStr">
        <x:is>
          <x:t xml:space="preserve">Planta São Paulo</x:t>
        </x:is>
      </x:c>
      <x:c r="C43" t="inlineStr">
        <x:is>
          <x:t xml:space="preserve">Linha 2</x:t>
        </x:is>
      </x:c>
      <x:c r="D43" t="inlineStr">
        <x:is>
          <x:t xml:space="preserve">B</x:t>
        </x:is>
      </x:c>
      <x:c r="E43" t="n">
        <x:v>378</x:v>
      </x:c>
      <x:c r="F43" t="n">
        <x:v>361</x:v>
      </x:c>
      <x:c r="G43" t="n">
        <x:v>24</x:v>
      </x:c>
      <x:c r="H43" t="n">
        <x:v>1.39</x:v>
      </x:c>
      <x:c r="I43" t="n">
        <x:v>56.69</x:v>
      </x:c>
      <x:c r="J43" t="n">
        <x:v>58</x:v>
      </x:c>
    </x:row>
    <x:row r="44">
      <x:c r="A44" s="2" t="n">
        <x:v>46245</x:v>
      </x:c>
      <x:c r="B44" t="inlineStr">
        <x:is>
          <x:t xml:space="preserve">Planta São Paulo</x:t>
        </x:is>
      </x:c>
      <x:c r="C44" t="inlineStr">
        <x:is>
          <x:t xml:space="preserve">Linha 3</x:t>
        </x:is>
      </x:c>
      <x:c r="D44" t="inlineStr">
        <x:is>
          <x:t xml:space="preserve">C</x:t>
        </x:is>
      </x:c>
      <x:c r="E44" t="n">
        <x:v>360</x:v>
      </x:c>
      <x:c r="F44" t="n">
        <x:v>284</x:v>
      </x:c>
      <x:c r="G44" t="n">
        <x:v>24</x:v>
      </x:c>
      <x:c r="H44" t="n">
        <x:v>4.83</x:v>
      </x:c>
      <x:c r="I44" t="n">
        <x:v>50.57</x:v>
      </x:c>
      <x:c r="J44" t="n">
        <x:v>54</x:v>
      </x:c>
    </x:row>
    <x:row r="45">
      <x:c r="A45" s="2" t="n">
        <x:v>46245</x:v>
      </x:c>
      <x:c r="B45" t="inlineStr">
        <x:is>
          <x:t xml:space="preserve">Planta São Paulo</x:t>
        </x:is>
      </x:c>
      <x:c r="C45" t="inlineStr">
        <x:is>
          <x:t xml:space="preserve">Linha 4</x:t>
        </x:is>
      </x:c>
      <x:c r="D45" t="inlineStr">
        <x:is>
          <x:t xml:space="preserve">D</x:t>
        </x:is>
      </x:c>
      <x:c r="E45" t="n">
        <x:v>313</x:v>
      </x:c>
      <x:c r="F45" t="n">
        <x:v>291</x:v>
      </x:c>
      <x:c r="G45" t="n">
        <x:v>24</x:v>
      </x:c>
      <x:c r="H45" t="n">
        <x:v>1.96</x:v>
      </x:c>
      <x:c r="I45" t="n">
        <x:v>52.36</x:v>
      </x:c>
      <x:c r="J45" t="n">
        <x:v>55</x:v>
      </x:c>
    </x:row>
    <x:row r="46">
      <x:c r="A46" s="2" t="n">
        <x:v>46246</x:v>
      </x:c>
      <x:c r="B46" t="inlineStr">
        <x:is>
          <x:t xml:space="preserve">Planta São Paulo</x:t>
        </x:is>
      </x:c>
      <x:c r="C46" t="inlineStr">
        <x:is>
          <x:t xml:space="preserve">Linha 1</x:t>
        </x:is>
      </x:c>
      <x:c r="D46" t="inlineStr">
        <x:is>
          <x:t xml:space="preserve">A</x:t>
        </x:is>
      </x:c>
      <x:c r="E46" t="n">
        <x:v>418</x:v>
      </x:c>
      <x:c r="F46" t="n">
        <x:v>428</x:v>
      </x:c>
      <x:c r="G46" t="n">
        <x:v>24</x:v>
      </x:c>
      <x:c r="H46" t="n">
        <x:v>1.3</x:v>
      </x:c>
      <x:c r="I46" t="n">
        <x:v>56.99</x:v>
      </x:c>
      <x:c r="J46" t="n">
        <x:v>60</x:v>
      </x:c>
    </x:row>
    <x:row r="47">
      <x:c r="A47" s="2" t="n">
        <x:v>46246</x:v>
      </x:c>
      <x:c r="B47" t="inlineStr">
        <x:is>
          <x:t xml:space="preserve">Planta São Paulo</x:t>
        </x:is>
      </x:c>
      <x:c r="C47" t="inlineStr">
        <x:is>
          <x:t xml:space="preserve">Linha 2</x:t>
        </x:is>
      </x:c>
      <x:c r="D47" t="inlineStr">
        <x:is>
          <x:t xml:space="preserve">B</x:t>
        </x:is>
      </x:c>
      <x:c r="E47" t="n">
        <x:v>369</x:v>
      </x:c>
      <x:c r="F47" t="n">
        <x:v>364</x:v>
      </x:c>
      <x:c r="G47" t="n">
        <x:v>24</x:v>
      </x:c>
      <x:c r="H47" t="n">
        <x:v>2.38</x:v>
      </x:c>
      <x:c r="I47" t="n">
        <x:v>56.43</x:v>
      </x:c>
      <x:c r="J47" t="n">
        <x:v>58</x:v>
      </x:c>
    </x:row>
    <x:row r="48">
      <x:c r="A48" s="2" t="n">
        <x:v>46246</x:v>
      </x:c>
      <x:c r="B48" t="inlineStr">
        <x:is>
          <x:t xml:space="preserve">Planta São Paulo</x:t>
        </x:is>
      </x:c>
      <x:c r="C48" t="inlineStr">
        <x:is>
          <x:t xml:space="preserve">Linha 3</x:t>
        </x:is>
      </x:c>
      <x:c r="D48" t="inlineStr">
        <x:is>
          <x:t xml:space="preserve">C</x:t>
        </x:is>
      </x:c>
      <x:c r="E48" t="n">
        <x:v>362</x:v>
      </x:c>
      <x:c r="F48" t="n">
        <x:v>298</x:v>
      </x:c>
      <x:c r="G48" t="n">
        <x:v>24</x:v>
      </x:c>
      <x:c r="H48" t="n">
        <x:v>3.68</x:v>
      </x:c>
      <x:c r="I48" t="n">
        <x:v>48.67</x:v>
      </x:c>
      <x:c r="J48" t="n">
        <x:v>54</x:v>
      </x:c>
    </x:row>
    <x:row r="49">
      <x:c r="A49" s="2" t="n">
        <x:v>46246</x:v>
      </x:c>
      <x:c r="B49" t="inlineStr">
        <x:is>
          <x:t xml:space="preserve">Planta São Paulo</x:t>
        </x:is>
      </x:c>
      <x:c r="C49" t="inlineStr">
        <x:is>
          <x:t xml:space="preserve">Linha 4</x:t>
        </x:is>
      </x:c>
      <x:c r="D49" t="inlineStr">
        <x:is>
          <x:t xml:space="preserve">D</x:t>
        </x:is>
      </x:c>
      <x:c r="E49" t="n">
        <x:v>334</x:v>
      </x:c>
      <x:c r="F49" t="n">
        <x:v>301</x:v>
      </x:c>
      <x:c r="G49" t="n">
        <x:v>24</x:v>
      </x:c>
      <x:c r="H49" t="n">
        <x:v>2.96</x:v>
      </x:c>
      <x:c r="I49" t="n">
        <x:v>52.95</x:v>
      </x:c>
      <x:c r="J49" t="n">
        <x:v>55</x:v>
      </x:c>
    </x:row>
    <x:row r="50">
      <x:c r="A50" s="2" t="n">
        <x:v>46247</x:v>
      </x:c>
      <x:c r="B50" t="inlineStr">
        <x:is>
          <x:t xml:space="preserve">Planta São Paulo</x:t>
        </x:is>
      </x:c>
      <x:c r="C50" t="inlineStr">
        <x:is>
          <x:t xml:space="preserve">Linha 1</x:t>
        </x:is>
      </x:c>
      <x:c r="D50" t="inlineStr">
        <x:is>
          <x:t xml:space="preserve">A</x:t>
        </x:is>
      </x:c>
      <x:c r="E50" t="n">
        <x:v>406</x:v>
      </x:c>
      <x:c r="F50" t="n">
        <x:v>401</x:v>
      </x:c>
      <x:c r="G50" t="n">
        <x:v>24</x:v>
      </x:c>
      <x:c r="H50" t="n">
        <x:v>1.62</x:v>
      </x:c>
      <x:c r="I50" t="n">
        <x:v>56.41</x:v>
      </x:c>
      <x:c r="J50" t="n">
        <x:v>60</x:v>
      </x:c>
    </x:row>
    <x:row r="51">
      <x:c r="A51" s="2" t="n">
        <x:v>46247</x:v>
      </x:c>
      <x:c r="B51" t="inlineStr">
        <x:is>
          <x:t xml:space="preserve">Planta São Paulo</x:t>
        </x:is>
      </x:c>
      <x:c r="C51" t="inlineStr">
        <x:is>
          <x:t xml:space="preserve">Linha 2</x:t>
        </x:is>
      </x:c>
      <x:c r="D51" t="inlineStr">
        <x:is>
          <x:t xml:space="preserve">B</x:t>
        </x:is>
      </x:c>
      <x:c r="E51" t="n">
        <x:v>371</x:v>
      </x:c>
      <x:c r="F51" t="n">
        <x:v>346</x:v>
      </x:c>
      <x:c r="G51" t="n">
        <x:v>24</x:v>
      </x:c>
      <x:c r="H51" t="n">
        <x:v>1.29</x:v>
      </x:c>
      <x:c r="I51" t="n">
        <x:v>56.38</x:v>
      </x:c>
      <x:c r="J51" t="n">
        <x:v>58</x:v>
      </x:c>
    </x:row>
    <x:row r="52">
      <x:c r="A52" s="2" t="n">
        <x:v>46247</x:v>
      </x:c>
      <x:c r="B52" t="inlineStr">
        <x:is>
          <x:t xml:space="preserve">Planta São Paulo</x:t>
        </x:is>
      </x:c>
      <x:c r="C52" t="inlineStr">
        <x:is>
          <x:t xml:space="preserve">Linha 3</x:t>
        </x:is>
      </x:c>
      <x:c r="D52" t="inlineStr">
        <x:is>
          <x:t xml:space="preserve">C</x:t>
        </x:is>
      </x:c>
      <x:c r="E52" t="n">
        <x:v>376</x:v>
      </x:c>
      <x:c r="F52" t="n">
        <x:v>309</x:v>
      </x:c>
      <x:c r="G52" t="n">
        <x:v>24</x:v>
      </x:c>
      <x:c r="H52" t="n">
        <x:v>3.44</x:v>
      </x:c>
      <x:c r="I52" t="n">
        <x:v>48.86</x:v>
      </x:c>
      <x:c r="J52" t="n">
        <x:v>54</x:v>
      </x:c>
    </x:row>
    <x:row r="53">
      <x:c r="A53" s="2" t="n">
        <x:v>46247</x:v>
      </x:c>
      <x:c r="B53" t="inlineStr">
        <x:is>
          <x:t xml:space="preserve">Planta São Paulo</x:t>
        </x:is>
      </x:c>
      <x:c r="C53" t="inlineStr">
        <x:is>
          <x:t xml:space="preserve">Linha 4</x:t>
        </x:is>
      </x:c>
      <x:c r="D53" t="inlineStr">
        <x:is>
          <x:t xml:space="preserve">D</x:t>
        </x:is>
      </x:c>
      <x:c r="E53" t="n">
        <x:v>361</x:v>
      </x:c>
      <x:c r="F53" t="n">
        <x:v>329</x:v>
      </x:c>
      <x:c r="G53" t="n">
        <x:v>24</x:v>
      </x:c>
      <x:c r="H53" t="n">
        <x:v>1.88</x:v>
      </x:c>
      <x:c r="I53" t="n">
        <x:v>50.81</x:v>
      </x:c>
      <x:c r="J53" t="n">
        <x:v>55</x:v>
      </x:c>
    </x:row>
    <x:row r="54">
      <x:c r="A54" s="2" t="n">
        <x:v>46248</x:v>
      </x:c>
      <x:c r="B54" t="inlineStr">
        <x:is>
          <x:t xml:space="preserve">Planta São Paulo</x:t>
        </x:is>
      </x:c>
      <x:c r="C54" t="inlineStr">
        <x:is>
          <x:t xml:space="preserve">Linha 1</x:t>
        </x:is>
      </x:c>
      <x:c r="D54" t="inlineStr">
        <x:is>
          <x:t xml:space="preserve">A</x:t>
        </x:is>
      </x:c>
      <x:c r="E54" t="n">
        <x:v>406</x:v>
      </x:c>
      <x:c r="F54" t="n">
        <x:v>418</x:v>
      </x:c>
      <x:c r="G54" t="n">
        <x:v>24</x:v>
      </x:c>
      <x:c r="H54" t="n">
        <x:v>0.5600000000000001</x:v>
      </x:c>
      <x:c r="I54" t="n">
        <x:v>58.62</x:v>
      </x:c>
      <x:c r="J54" t="n">
        <x:v>60</x:v>
      </x:c>
    </x:row>
    <x:row r="55">
      <x:c r="A55" s="2" t="n">
        <x:v>46248</x:v>
      </x:c>
      <x:c r="B55" t="inlineStr">
        <x:is>
          <x:t xml:space="preserve">Planta São Paulo</x:t>
        </x:is>
      </x:c>
      <x:c r="C55" t="inlineStr">
        <x:is>
          <x:t xml:space="preserve">Linha 2</x:t>
        </x:is>
      </x:c>
      <x:c r="D55" t="inlineStr">
        <x:is>
          <x:t xml:space="preserve">B</x:t>
        </x:is>
      </x:c>
      <x:c r="E55" t="n">
        <x:v>413</x:v>
      </x:c>
      <x:c r="F55" t="n">
        <x:v>386</x:v>
      </x:c>
      <x:c r="G55" t="n">
        <x:v>24</x:v>
      </x:c>
      <x:c r="H55" t="n">
        <x:v>1.44</x:v>
      </x:c>
      <x:c r="I55" t="n">
        <x:v>53.14</x:v>
      </x:c>
      <x:c r="J55" t="n">
        <x:v>58</x:v>
      </x:c>
    </x:row>
    <x:row r="56">
      <x:c r="A56" s="2" t="n">
        <x:v>46248</x:v>
      </x:c>
      <x:c r="B56" t="inlineStr">
        <x:is>
          <x:t xml:space="preserve">Planta São Paulo</x:t>
        </x:is>
      </x:c>
      <x:c r="C56" t="inlineStr">
        <x:is>
          <x:t xml:space="preserve">Linha 3</x:t>
        </x:is>
      </x:c>
      <x:c r="D56" t="inlineStr">
        <x:is>
          <x:t xml:space="preserve">C</x:t>
        </x:is>
      </x:c>
      <x:c r="E56" t="n">
        <x:v>370</x:v>
      </x:c>
      <x:c r="F56" t="n">
        <x:v>297</x:v>
      </x:c>
      <x:c r="G56" t="n">
        <x:v>24</x:v>
      </x:c>
      <x:c r="H56" t="n">
        <x:v>3.29</x:v>
      </x:c>
      <x:c r="I56" t="n">
        <x:v>47.92</x:v>
      </x:c>
      <x:c r="J56" t="n">
        <x:v>54</x:v>
      </x:c>
    </x:row>
    <x:row r="57">
      <x:c r="A57" s="2" t="n">
        <x:v>46248</x:v>
      </x:c>
      <x:c r="B57" t="inlineStr">
        <x:is>
          <x:t xml:space="preserve">Planta São Paulo</x:t>
        </x:is>
      </x:c>
      <x:c r="C57" t="inlineStr">
        <x:is>
          <x:t xml:space="preserve">Linha 4</x:t>
        </x:is>
      </x:c>
      <x:c r="D57" t="inlineStr">
        <x:is>
          <x:t xml:space="preserve">D</x:t>
        </x:is>
      </x:c>
      <x:c r="E57" t="n">
        <x:v>343</x:v>
      </x:c>
      <x:c r="F57" t="n">
        <x:v>313</x:v>
      </x:c>
      <x:c r="G57" t="n">
        <x:v>24</x:v>
      </x:c>
      <x:c r="H57" t="n">
        <x:v>1.98</x:v>
      </x:c>
      <x:c r="I57" t="n">
        <x:v>52.53</x:v>
      </x:c>
      <x:c r="J57" t="n">
        <x:v>55</x:v>
      </x:c>
    </x:row>
    <x:row r="58">
      <x:c r="A58" s="2" t="n">
        <x:v>46249</x:v>
      </x:c>
      <x:c r="B58" t="inlineStr">
        <x:is>
          <x:t xml:space="preserve">Planta São Paulo</x:t>
        </x:is>
      </x:c>
      <x:c r="C58" t="inlineStr">
        <x:is>
          <x:t xml:space="preserve">Linha 1</x:t>
        </x:is>
      </x:c>
      <x:c r="D58" t="inlineStr">
        <x:is>
          <x:t xml:space="preserve">A</x:t>
        </x:is>
      </x:c>
      <x:c r="E58" t="n">
        <x:v>444</x:v>
      </x:c>
      <x:c r="F58" t="n">
        <x:v>447</x:v>
      </x:c>
      <x:c r="G58" t="n">
        <x:v>24</x:v>
      </x:c>
      <x:c r="H58" t="n">
        <x:v>1.13</x:v>
      </x:c>
      <x:c r="I58" t="n">
        <x:v>54.47</x:v>
      </x:c>
      <x:c r="J58" t="n">
        <x:v>60</x:v>
      </x:c>
    </x:row>
    <x:row r="59">
      <x:c r="A59" s="2" t="n">
        <x:v>46249</x:v>
      </x:c>
      <x:c r="B59" t="inlineStr">
        <x:is>
          <x:t xml:space="preserve">Planta São Paulo</x:t>
        </x:is>
      </x:c>
      <x:c r="C59" t="inlineStr">
        <x:is>
          <x:t xml:space="preserve">Linha 2</x:t>
        </x:is>
      </x:c>
      <x:c r="D59" t="inlineStr">
        <x:is>
          <x:t xml:space="preserve">B</x:t>
        </x:is>
      </x:c>
      <x:c r="E59" t="n">
        <x:v>400</x:v>
      </x:c>
      <x:c r="F59" t="n">
        <x:v>384</x:v>
      </x:c>
      <x:c r="G59" t="n">
        <x:v>24</x:v>
      </x:c>
      <x:c r="H59" t="n">
        <x:v>1.71</x:v>
      </x:c>
      <x:c r="I59" t="n">
        <x:v>52.62</x:v>
      </x:c>
      <x:c r="J59" t="n">
        <x:v>58</x:v>
      </x:c>
    </x:row>
    <x:row r="60">
      <x:c r="A60" s="2" t="n">
        <x:v>46249</x:v>
      </x:c>
      <x:c r="B60" t="inlineStr">
        <x:is>
          <x:t xml:space="preserve">Planta São Paulo</x:t>
        </x:is>
      </x:c>
      <x:c r="C60" t="inlineStr">
        <x:is>
          <x:t xml:space="preserve">Linha 3</x:t>
        </x:is>
      </x:c>
      <x:c r="D60" t="inlineStr">
        <x:is>
          <x:t xml:space="preserve">C</x:t>
        </x:is>
      </x:c>
      <x:c r="E60" t="n">
        <x:v>367</x:v>
      </x:c>
      <x:c r="F60" t="n">
        <x:v>329</x:v>
      </x:c>
      <x:c r="G60" t="n">
        <x:v>24</x:v>
      </x:c>
      <x:c r="H60" t="n">
        <x:v>3.93</x:v>
      </x:c>
      <x:c r="I60" t="n">
        <x:v>47.55</x:v>
      </x:c>
      <x:c r="J60" t="n">
        <x:v>54</x:v>
      </x:c>
    </x:row>
    <x:row r="61">
      <x:c r="A61" s="2" t="n">
        <x:v>46249</x:v>
      </x:c>
      <x:c r="B61" t="inlineStr">
        <x:is>
          <x:t xml:space="preserve">Planta São Paulo</x:t>
        </x:is>
      </x:c>
      <x:c r="C61" t="inlineStr">
        <x:is>
          <x:t xml:space="preserve">Linha 4</x:t>
        </x:is>
      </x:c>
      <x:c r="D61" t="inlineStr">
        <x:is>
          <x:t xml:space="preserve">D</x:t>
        </x:is>
      </x:c>
      <x:c r="E61" t="n">
        <x:v>328</x:v>
      </x:c>
      <x:c r="F61" t="n">
        <x:v>303</x:v>
      </x:c>
      <x:c r="G61" t="n">
        <x:v>24</x:v>
      </x:c>
      <x:c r="H61" t="n">
        <x:v>1.31</x:v>
      </x:c>
      <x:c r="I61" t="n">
        <x:v>53.78</x:v>
      </x:c>
      <x:c r="J61" t="n">
        <x:v>55</x:v>
      </x:c>
    </x:row>
    <x:row r="62">
      <x:c r="A62" s="2" t="n">
        <x:v>46250</x:v>
      </x:c>
      <x:c r="B62" t="inlineStr">
        <x:is>
          <x:t xml:space="preserve">Planta São Paulo</x:t>
        </x:is>
      </x:c>
      <x:c r="C62" t="inlineStr">
        <x:is>
          <x:t xml:space="preserve">Linha 1</x:t>
        </x:is>
      </x:c>
      <x:c r="D62" t="inlineStr">
        <x:is>
          <x:t xml:space="preserve">A</x:t>
        </x:is>
      </x:c>
      <x:c r="E62" t="n">
        <x:v>414</x:v>
      </x:c>
      <x:c r="F62" t="n">
        <x:v>416</x:v>
      </x:c>
      <x:c r="G62" t="n">
        <x:v>24</x:v>
      </x:c>
      <x:c r="H62" t="n">
        <x:v>1.02</x:v>
      </x:c>
      <x:c r="I62" t="n">
        <x:v>56.42</x:v>
      </x:c>
      <x:c r="J62" t="n">
        <x:v>60</x:v>
      </x:c>
    </x:row>
    <x:row r="63">
      <x:c r="A63" s="2" t="n">
        <x:v>46250</x:v>
      </x:c>
      <x:c r="B63" t="inlineStr">
        <x:is>
          <x:t xml:space="preserve">Planta São Paulo</x:t>
        </x:is>
      </x:c>
      <x:c r="C63" t="inlineStr">
        <x:is>
          <x:t xml:space="preserve">Linha 2</x:t>
        </x:is>
      </x:c>
      <x:c r="D63" t="inlineStr">
        <x:is>
          <x:t xml:space="preserve">B</x:t>
        </x:is>
      </x:c>
      <x:c r="E63" t="n">
        <x:v>399</x:v>
      </x:c>
      <x:c r="F63" t="n">
        <x:v>373</x:v>
      </x:c>
      <x:c r="G63" t="n">
        <x:v>24</x:v>
      </x:c>
      <x:c r="H63" t="n">
        <x:v>1.93</x:v>
      </x:c>
      <x:c r="I63" t="n">
        <x:v>56.55</x:v>
      </x:c>
      <x:c r="J63" t="n">
        <x:v>58</x:v>
      </x:c>
    </x:row>
    <x:row r="64">
      <x:c r="A64" s="2" t="n">
        <x:v>46250</x:v>
      </x:c>
      <x:c r="B64" t="inlineStr">
        <x:is>
          <x:t xml:space="preserve">Planta São Paulo</x:t>
        </x:is>
      </x:c>
      <x:c r="C64" t="inlineStr">
        <x:is>
          <x:t xml:space="preserve">Linha 3</x:t>
        </x:is>
      </x:c>
      <x:c r="D64" t="inlineStr">
        <x:is>
          <x:t xml:space="preserve">C</x:t>
        </x:is>
      </x:c>
      <x:c r="E64" t="n">
        <x:v>362</x:v>
      </x:c>
      <x:c r="F64" t="n">
        <x:v>305</x:v>
      </x:c>
      <x:c r="G64" t="n">
        <x:v>24</x:v>
      </x:c>
      <x:c r="H64" t="n">
        <x:v>3.57</x:v>
      </x:c>
      <x:c r="I64" t="n">
        <x:v>49.99</x:v>
      </x:c>
      <x:c r="J64" t="n">
        <x:v>54</x:v>
      </x:c>
    </x:row>
    <x:row r="65">
      <x:c r="A65" s="2" t="n">
        <x:v>46250</x:v>
      </x:c>
      <x:c r="B65" t="inlineStr">
        <x:is>
          <x:t xml:space="preserve">Planta São Paulo</x:t>
        </x:is>
      </x:c>
      <x:c r="C65" t="inlineStr">
        <x:is>
          <x:t xml:space="preserve">Linha 4</x:t>
        </x:is>
      </x:c>
      <x:c r="D65" t="inlineStr">
        <x:is>
          <x:t xml:space="preserve">D</x:t>
        </x:is>
      </x:c>
      <x:c r="E65" t="n">
        <x:v>348</x:v>
      </x:c>
      <x:c r="F65" t="n">
        <x:v>325</x:v>
      </x:c>
      <x:c r="G65" t="n">
        <x:v>24</x:v>
      </x:c>
      <x:c r="H65" t="n">
        <x:v>0.86</x:v>
      </x:c>
      <x:c r="I65" t="n">
        <x:v>54.1</x:v>
      </x:c>
      <x:c r="J65" t="n">
        <x:v>55</x:v>
      </x:c>
    </x:row>
    <x:row r="66">
      <x:c r="A66" s="2" t="n">
        <x:v>46251</x:v>
      </x:c>
      <x:c r="B66" t="inlineStr">
        <x:is>
          <x:t xml:space="preserve">Planta São Paulo</x:t>
        </x:is>
      </x:c>
      <x:c r="C66" t="inlineStr">
        <x:is>
          <x:t xml:space="preserve">Linha 1</x:t>
        </x:is>
      </x:c>
      <x:c r="D66" t="inlineStr">
        <x:is>
          <x:t xml:space="preserve">A</x:t>
        </x:is>
      </x:c>
      <x:c r="E66" t="n">
        <x:v>415</x:v>
      </x:c>
      <x:c r="F66" t="n">
        <x:v>407</x:v>
      </x:c>
      <x:c r="G66" t="n">
        <x:v>24</x:v>
      </x:c>
      <x:c r="H66" t="n">
        <x:v>0.42</x:v>
      </x:c>
      <x:c r="I66" t="n">
        <x:v>60.81</x:v>
      </x:c>
      <x:c r="J66" t="n">
        <x:v>60</x:v>
      </x:c>
    </x:row>
    <x:row r="67">
      <x:c r="A67" s="2" t="n">
        <x:v>46251</x:v>
      </x:c>
      <x:c r="B67" t="inlineStr">
        <x:is>
          <x:t xml:space="preserve">Planta São Paulo</x:t>
        </x:is>
      </x:c>
      <x:c r="C67" t="inlineStr">
        <x:is>
          <x:t xml:space="preserve">Linha 2</x:t>
        </x:is>
      </x:c>
      <x:c r="D67" t="inlineStr">
        <x:is>
          <x:t xml:space="preserve">B</x:t>
        </x:is>
      </x:c>
      <x:c r="E67" t="n">
        <x:v>382</x:v>
      </x:c>
      <x:c r="F67" t="n">
        <x:v>361</x:v>
      </x:c>
      <x:c r="G67" t="n">
        <x:v>24</x:v>
      </x:c>
      <x:c r="H67" t="n">
        <x:v>0.8</x:v>
      </x:c>
      <x:c r="I67" t="n">
        <x:v>54.54</x:v>
      </x:c>
      <x:c r="J67" t="n">
        <x:v>58</x:v>
      </x:c>
    </x:row>
    <x:row r="68">
      <x:c r="A68" s="2" t="n">
        <x:v>46251</x:v>
      </x:c>
      <x:c r="B68" t="inlineStr">
        <x:is>
          <x:t xml:space="preserve">Planta São Paulo</x:t>
        </x:is>
      </x:c>
      <x:c r="C68" t="inlineStr">
        <x:is>
          <x:t xml:space="preserve">Linha 3</x:t>
        </x:is>
      </x:c>
      <x:c r="D68" t="inlineStr">
        <x:is>
          <x:t xml:space="preserve">C</x:t>
        </x:is>
      </x:c>
      <x:c r="E68" t="n">
        <x:v>364</x:v>
      </x:c>
      <x:c r="F68" t="n">
        <x:v>290</x:v>
      </x:c>
      <x:c r="G68" t="n">
        <x:v>24</x:v>
      </x:c>
      <x:c r="H68" t="n">
        <x:v>3.5</x:v>
      </x:c>
      <x:c r="I68" t="n">
        <x:v>47.98</x:v>
      </x:c>
      <x:c r="J68" t="n">
        <x:v>54</x:v>
      </x:c>
    </x:row>
    <x:row r="69">
      <x:c r="A69" s="2" t="n">
        <x:v>46251</x:v>
      </x:c>
      <x:c r="B69" t="inlineStr">
        <x:is>
          <x:t xml:space="preserve">Planta São Paulo</x:t>
        </x:is>
      </x:c>
      <x:c r="C69" t="inlineStr">
        <x:is>
          <x:t xml:space="preserve">Linha 4</x:t>
        </x:is>
      </x:c>
      <x:c r="D69" t="inlineStr">
        <x:is>
          <x:t xml:space="preserve">D</x:t>
        </x:is>
      </x:c>
      <x:c r="E69" t="n">
        <x:v>332</x:v>
      </x:c>
      <x:c r="F69" t="n">
        <x:v>302</x:v>
      </x:c>
      <x:c r="G69" t="n">
        <x:v>24</x:v>
      </x:c>
      <x:c r="H69" t="n">
        <x:v>1.38</x:v>
      </x:c>
      <x:c r="I69" t="n">
        <x:v>50.48</x:v>
      </x:c>
      <x:c r="J69" t="n">
        <x:v>55</x:v>
      </x:c>
    </x:row>
    <x:row r="70">
      <x:c r="A70" s="2" t="n">
        <x:v>46252</x:v>
      </x:c>
      <x:c r="B70" t="inlineStr">
        <x:is>
          <x:t xml:space="preserve">Planta São Paulo</x:t>
        </x:is>
      </x:c>
      <x:c r="C70" t="inlineStr">
        <x:is>
          <x:t xml:space="preserve">Linha 1</x:t>
        </x:is>
      </x:c>
      <x:c r="D70" t="inlineStr">
        <x:is>
          <x:t xml:space="preserve">A</x:t>
        </x:is>
      </x:c>
      <x:c r="E70" t="n">
        <x:v>420</x:v>
      </x:c>
      <x:c r="F70" t="n">
        <x:v>408</x:v>
      </x:c>
      <x:c r="G70" t="n">
        <x:v>24</x:v>
      </x:c>
      <x:c r="H70" t="n">
        <x:v>0.51</x:v>
      </x:c>
      <x:c r="I70" t="n">
        <x:v>58.28</x:v>
      </x:c>
      <x:c r="J70" t="n">
        <x:v>60</x:v>
      </x:c>
    </x:row>
    <x:row r="71">
      <x:c r="A71" s="2" t="n">
        <x:v>46252</x:v>
      </x:c>
      <x:c r="B71" t="inlineStr">
        <x:is>
          <x:t xml:space="preserve">Planta São Paulo</x:t>
        </x:is>
      </x:c>
      <x:c r="C71" t="inlineStr">
        <x:is>
          <x:t xml:space="preserve">Linha 2</x:t>
        </x:is>
      </x:c>
      <x:c r="D71" t="inlineStr">
        <x:is>
          <x:t xml:space="preserve">B</x:t>
        </x:is>
      </x:c>
      <x:c r="E71" t="n">
        <x:v>381</x:v>
      </x:c>
      <x:c r="F71" t="n">
        <x:v>362</x:v>
      </x:c>
      <x:c r="G71" t="n">
        <x:v>24</x:v>
      </x:c>
      <x:c r="H71" t="n">
        <x:v>1.66</x:v>
      </x:c>
      <x:c r="I71" t="n">
        <x:v>54.01</x:v>
      </x:c>
      <x:c r="J71" t="n">
        <x:v>58</x:v>
      </x:c>
    </x:row>
    <x:row r="72">
      <x:c r="A72" s="2" t="n">
        <x:v>46252</x:v>
      </x:c>
      <x:c r="B72" t="inlineStr">
        <x:is>
          <x:t xml:space="preserve">Planta São Paulo</x:t>
        </x:is>
      </x:c>
      <x:c r="C72" t="inlineStr">
        <x:is>
          <x:t xml:space="preserve">Linha 3</x:t>
        </x:is>
      </x:c>
      <x:c r="D72" t="inlineStr">
        <x:is>
          <x:t xml:space="preserve">C</x:t>
        </x:is>
      </x:c>
      <x:c r="E72" t="n">
        <x:v>359</x:v>
      </x:c>
      <x:c r="F72" t="n">
        <x:v>287</x:v>
      </x:c>
      <x:c r="G72" t="n">
        <x:v>24</x:v>
      </x:c>
      <x:c r="H72" t="n">
        <x:v>3.74</x:v>
      </x:c>
      <x:c r="I72" t="n">
        <x:v>48.67</x:v>
      </x:c>
      <x:c r="J72" t="n">
        <x:v>54</x:v>
      </x:c>
    </x:row>
    <x:row r="73">
      <x:c r="A73" s="2" t="n">
        <x:v>46252</x:v>
      </x:c>
      <x:c r="B73" t="inlineStr">
        <x:is>
          <x:t xml:space="preserve">Planta São Paulo</x:t>
        </x:is>
      </x:c>
      <x:c r="C73" t="inlineStr">
        <x:is>
          <x:t xml:space="preserve">Linha 4</x:t>
        </x:is>
      </x:c>
      <x:c r="D73" t="inlineStr">
        <x:is>
          <x:t xml:space="preserve">D</x:t>
        </x:is>
      </x:c>
      <x:c r="E73" t="n">
        <x:v>340</x:v>
      </x:c>
      <x:c r="F73" t="n">
        <x:v>295</x:v>
      </x:c>
      <x:c r="G73" t="n">
        <x:v>24</x:v>
      </x:c>
      <x:c r="H73" t="n">
        <x:v>2.39</x:v>
      </x:c>
      <x:c r="I73" t="n">
        <x:v>50.76</x:v>
      </x:c>
      <x:c r="J73" t="n">
        <x:v>55</x:v>
      </x:c>
    </x:row>
    <x:row r="74">
      <x:c r="A74" s="2" t="n">
        <x:v>46253</x:v>
      </x:c>
      <x:c r="B74" t="inlineStr">
        <x:is>
          <x:t xml:space="preserve">Planta São Paulo</x:t>
        </x:is>
      </x:c>
      <x:c r="C74" t="inlineStr">
        <x:is>
          <x:t xml:space="preserve">Linha 1</x:t>
        </x:is>
      </x:c>
      <x:c r="D74" t="inlineStr">
        <x:is>
          <x:t xml:space="preserve">A</x:t>
        </x:is>
      </x:c>
      <x:c r="E74" t="n">
        <x:v>434</x:v>
      </x:c>
      <x:c r="F74" t="n">
        <x:v>410</x:v>
      </x:c>
      <x:c r="G74" t="n">
        <x:v>24</x:v>
      </x:c>
      <x:c r="H74" t="n">
        <x:v>0.45</x:v>
      </x:c>
      <x:c r="I74" t="n">
        <x:v>55.89</x:v>
      </x:c>
      <x:c r="J74" t="n">
        <x:v>60</x:v>
      </x:c>
    </x:row>
    <x:row r="75">
      <x:c r="A75" s="2" t="n">
        <x:v>46253</x:v>
      </x:c>
      <x:c r="B75" t="inlineStr">
        <x:is>
          <x:t xml:space="preserve">Planta São Paulo</x:t>
        </x:is>
      </x:c>
      <x:c r="C75" t="inlineStr">
        <x:is>
          <x:t xml:space="preserve">Linha 2</x:t>
        </x:is>
      </x:c>
      <x:c r="D75" t="inlineStr">
        <x:is>
          <x:t xml:space="preserve">B</x:t>
        </x:is>
      </x:c>
      <x:c r="E75" t="n">
        <x:v>381</x:v>
      </x:c>
      <x:c r="F75" t="n">
        <x:v>349</x:v>
      </x:c>
      <x:c r="G75" t="n">
        <x:v>24</x:v>
      </x:c>
      <x:c r="H75" t="n">
        <x:v>2.15</x:v>
      </x:c>
      <x:c r="I75" t="n">
        <x:v>54</x:v>
      </x:c>
      <x:c r="J75" t="n">
        <x:v>58</x:v>
      </x:c>
    </x:row>
    <x:row r="76">
      <x:c r="A76" s="2" t="n">
        <x:v>46253</x:v>
      </x:c>
      <x:c r="B76" t="inlineStr">
        <x:is>
          <x:t xml:space="preserve">Planta São Paulo</x:t>
        </x:is>
      </x:c>
      <x:c r="C76" t="inlineStr">
        <x:is>
          <x:t xml:space="preserve">Linha 3</x:t>
        </x:is>
      </x:c>
      <x:c r="D76" t="inlineStr">
        <x:is>
          <x:t xml:space="preserve">C</x:t>
        </x:is>
      </x:c>
      <x:c r="E76" t="n">
        <x:v>347</x:v>
      </x:c>
      <x:c r="F76" t="n">
        <x:v>269</x:v>
      </x:c>
      <x:c r="G76" t="n">
        <x:v>24</x:v>
      </x:c>
      <x:c r="H76" t="n">
        <x:v>4.92</x:v>
      </x:c>
      <x:c r="I76" t="n">
        <x:v>48.17</x:v>
      </x:c>
      <x:c r="J76" t="n">
        <x:v>54</x:v>
      </x:c>
    </x:row>
    <x:row r="77">
      <x:c r="A77" s="2" t="n">
        <x:v>46253</x:v>
      </x:c>
      <x:c r="B77" t="inlineStr">
        <x:is>
          <x:t xml:space="preserve">Planta São Paulo</x:t>
        </x:is>
      </x:c>
      <x:c r="C77" t="inlineStr">
        <x:is>
          <x:t xml:space="preserve">Linha 4</x:t>
        </x:is>
      </x:c>
      <x:c r="D77" t="inlineStr">
        <x:is>
          <x:t xml:space="preserve">D</x:t>
        </x:is>
      </x:c>
      <x:c r="E77" t="n">
        <x:v>341</x:v>
      </x:c>
      <x:c r="F77" t="n">
        <x:v>333</x:v>
      </x:c>
      <x:c r="G77" t="n">
        <x:v>24</x:v>
      </x:c>
      <x:c r="H77" t="n">
        <x:v>1.38</x:v>
      </x:c>
      <x:c r="I77" t="n">
        <x:v>50.11</x:v>
      </x:c>
      <x:c r="J77" t="n">
        <x:v>55</x:v>
      </x:c>
    </x:row>
    <x:row r="78">
      <x:c r="A78" s="2" t="n">
        <x:v>46254</x:v>
      </x:c>
      <x:c r="B78" t="inlineStr">
        <x:is>
          <x:t xml:space="preserve">Planta São Paulo</x:t>
        </x:is>
      </x:c>
      <x:c r="C78" t="inlineStr">
        <x:is>
          <x:t xml:space="preserve">Linha 1</x:t>
        </x:is>
      </x:c>
      <x:c r="D78" t="inlineStr">
        <x:is>
          <x:t xml:space="preserve">A</x:t>
        </x:is>
      </x:c>
      <x:c r="E78" t="n">
        <x:v>429</x:v>
      </x:c>
      <x:c r="F78" t="n">
        <x:v>436</x:v>
      </x:c>
      <x:c r="G78" t="n">
        <x:v>24</x:v>
      </x:c>
      <x:c r="H78" t="n">
        <x:v>0.52</x:v>
      </x:c>
      <x:c r="I78" t="n">
        <x:v>54.91</x:v>
      </x:c>
      <x:c r="J78" t="n">
        <x:v>60</x:v>
      </x:c>
    </x:row>
    <x:row r="79">
      <x:c r="A79" s="2" t="n">
        <x:v>46254</x:v>
      </x:c>
      <x:c r="B79" t="inlineStr">
        <x:is>
          <x:t xml:space="preserve">Planta São Paulo</x:t>
        </x:is>
      </x:c>
      <x:c r="C79" t="inlineStr">
        <x:is>
          <x:t xml:space="preserve">Linha 2</x:t>
        </x:is>
      </x:c>
      <x:c r="D79" t="inlineStr">
        <x:is>
          <x:t xml:space="preserve">B</x:t>
        </x:is>
      </x:c>
      <x:c r="E79" t="n">
        <x:v>396</x:v>
      </x:c>
      <x:c r="F79" t="n">
        <x:v>360</x:v>
      </x:c>
      <x:c r="G79" t="n">
        <x:v>24</x:v>
      </x:c>
      <x:c r="H79" t="n">
        <x:v>2.42</x:v>
      </x:c>
      <x:c r="I79" t="n">
        <x:v>53.54</x:v>
      </x:c>
      <x:c r="J79" t="n">
        <x:v>58</x:v>
      </x:c>
    </x:row>
    <x:row r="80">
      <x:c r="A80" s="2" t="n">
        <x:v>46254</x:v>
      </x:c>
      <x:c r="B80" t="inlineStr">
        <x:is>
          <x:t xml:space="preserve">Planta São Paulo</x:t>
        </x:is>
      </x:c>
      <x:c r="C80" t="inlineStr">
        <x:is>
          <x:t xml:space="preserve">Linha 3</x:t>
        </x:is>
      </x:c>
      <x:c r="D80" t="inlineStr">
        <x:is>
          <x:t xml:space="preserve">C</x:t>
        </x:is>
      </x:c>
      <x:c r="E80" t="n">
        <x:v>349</x:v>
      </x:c>
      <x:c r="F80" t="n">
        <x:v>305</x:v>
      </x:c>
      <x:c r="G80" t="n">
        <x:v>24</x:v>
      </x:c>
      <x:c r="H80" t="n">
        <x:v>4.29</x:v>
      </x:c>
      <x:c r="I80" t="n">
        <x:v>48.06</x:v>
      </x:c>
      <x:c r="J80" t="n">
        <x:v>54</x:v>
      </x:c>
    </x:row>
    <x:row r="81">
      <x:c r="A81" s="2" t="n">
        <x:v>46254</x:v>
      </x:c>
      <x:c r="B81" t="inlineStr">
        <x:is>
          <x:t xml:space="preserve">Planta São Paulo</x:t>
        </x:is>
      </x:c>
      <x:c r="C81" t="inlineStr">
        <x:is>
          <x:t xml:space="preserve">Linha 4</x:t>
        </x:is>
      </x:c>
      <x:c r="D81" t="inlineStr">
        <x:is>
          <x:t xml:space="preserve">D</x:t>
        </x:is>
      </x:c>
      <x:c r="E81" t="n">
        <x:v>340</x:v>
      </x:c>
      <x:c r="F81" t="n">
        <x:v>312</x:v>
      </x:c>
      <x:c r="G81" t="n">
        <x:v>24</x:v>
      </x:c>
      <x:c r="H81" t="n">
        <x:v>1.94</x:v>
      </x:c>
      <x:c r="I81" t="n">
        <x:v>50.71</x:v>
      </x:c>
      <x:c r="J81" t="n">
        <x:v>55</x:v>
      </x:c>
    </x:row>
    <x:row r="82">
      <x:c r="A82" s="2" t="n">
        <x:v>46255</x:v>
      </x:c>
      <x:c r="B82" t="inlineStr">
        <x:is>
          <x:t xml:space="preserve">Planta São Paulo</x:t>
        </x:is>
      </x:c>
      <x:c r="C82" t="inlineStr">
        <x:is>
          <x:t xml:space="preserve">Linha 1</x:t>
        </x:is>
      </x:c>
      <x:c r="D82" t="inlineStr">
        <x:is>
          <x:t xml:space="preserve">A</x:t>
        </x:is>
      </x:c>
      <x:c r="E82" t="n">
        <x:v>436</x:v>
      </x:c>
      <x:c r="F82" t="n">
        <x:v>456</x:v>
      </x:c>
      <x:c r="G82" t="n">
        <x:v>24</x:v>
      </x:c>
      <x:c r="H82" t="n">
        <x:v>1.02</x:v>
      </x:c>
      <x:c r="I82" t="n">
        <x:v>55.85</x:v>
      </x:c>
      <x:c r="J82" t="n">
        <x:v>60</x:v>
      </x:c>
    </x:row>
    <x:row r="83">
      <x:c r="A83" s="2" t="n">
        <x:v>46255</x:v>
      </x:c>
      <x:c r="B83" t="inlineStr">
        <x:is>
          <x:t xml:space="preserve">Planta São Paulo</x:t>
        </x:is>
      </x:c>
      <x:c r="C83" t="inlineStr">
        <x:is>
          <x:t xml:space="preserve">Linha 2</x:t>
        </x:is>
      </x:c>
      <x:c r="D83" t="inlineStr">
        <x:is>
          <x:t xml:space="preserve">B</x:t>
        </x:is>
      </x:c>
      <x:c r="E83" t="n">
        <x:v>389</x:v>
      </x:c>
      <x:c r="F83" t="n">
        <x:v>354</x:v>
      </x:c>
      <x:c r="G83" t="n">
        <x:v>24</x:v>
      </x:c>
      <x:c r="H83" t="n">
        <x:v>2.16</x:v>
      </x:c>
      <x:c r="I83" t="n">
        <x:v>54.95</x:v>
      </x:c>
      <x:c r="J83" t="n">
        <x:v>58</x:v>
      </x:c>
    </x:row>
    <x:row r="84">
      <x:c r="A84" s="2" t="n">
        <x:v>46255</x:v>
      </x:c>
      <x:c r="B84" t="inlineStr">
        <x:is>
          <x:t xml:space="preserve">Planta São Paulo</x:t>
        </x:is>
      </x:c>
      <x:c r="C84" t="inlineStr">
        <x:is>
          <x:t xml:space="preserve">Linha 3</x:t>
        </x:is>
      </x:c>
      <x:c r="D84" t="inlineStr">
        <x:is>
          <x:t xml:space="preserve">C</x:t>
        </x:is>
      </x:c>
      <x:c r="E84" t="n">
        <x:v>352</x:v>
      </x:c>
      <x:c r="F84" t="n">
        <x:v>282</x:v>
      </x:c>
      <x:c r="G84" t="n">
        <x:v>24</x:v>
      </x:c>
      <x:c r="H84" t="n">
        <x:v>3.66</x:v>
      </x:c>
      <x:c r="I84" t="n">
        <x:v>47.86</x:v>
      </x:c>
      <x:c r="J84" t="n">
        <x:v>54</x:v>
      </x:c>
    </x:row>
    <x:row r="85">
      <x:c r="A85" s="2" t="n">
        <x:v>46255</x:v>
      </x:c>
      <x:c r="B85" t="inlineStr">
        <x:is>
          <x:t xml:space="preserve">Planta São Paulo</x:t>
        </x:is>
      </x:c>
      <x:c r="C85" t="inlineStr">
        <x:is>
          <x:t xml:space="preserve">Linha 4</x:t>
        </x:is>
      </x:c>
      <x:c r="D85" t="inlineStr">
        <x:is>
          <x:t xml:space="preserve">D</x:t>
        </x:is>
      </x:c>
      <x:c r="E85" t="n">
        <x:v>341</x:v>
      </x:c>
      <x:c r="F85" t="n">
        <x:v>300</x:v>
      </x:c>
      <x:c r="G85" t="n">
        <x:v>24</x:v>
      </x:c>
      <x:c r="H85" t="n">
        <x:v>1.63</x:v>
      </x:c>
      <x:c r="I85" t="n">
        <x:v>51.85</x:v>
      </x:c>
      <x:c r="J85" t="n">
        <x:v>55</x:v>
      </x:c>
    </x:row>
    <x:row r="86">
      <x:c r="A86" s="2" t="n">
        <x:v>46256</x:v>
      </x:c>
      <x:c r="B86" t="inlineStr">
        <x:is>
          <x:t xml:space="preserve">Planta São Paulo</x:t>
        </x:is>
      </x:c>
      <x:c r="C86" t="inlineStr">
        <x:is>
          <x:t xml:space="preserve">Linha 1</x:t>
        </x:is>
      </x:c>
      <x:c r="D86" t="inlineStr">
        <x:is>
          <x:t xml:space="preserve">A</x:t>
        </x:is>
      </x:c>
      <x:c r="E86" t="n">
        <x:v>422</x:v>
      </x:c>
      <x:c r="F86" t="n">
        <x:v>416</x:v>
      </x:c>
      <x:c r="G86" t="n">
        <x:v>24</x:v>
      </x:c>
      <x:c r="H86" t="n">
        <x:v>0.85</x:v>
      </x:c>
      <x:c r="I86" t="n">
        <x:v>56.44</x:v>
      </x:c>
      <x:c r="J86" t="n">
        <x:v>60</x:v>
      </x:c>
    </x:row>
    <x:row r="87">
      <x:c r="A87" s="2" t="n">
        <x:v>46256</x:v>
      </x:c>
      <x:c r="B87" t="inlineStr">
        <x:is>
          <x:t xml:space="preserve">Planta São Paulo</x:t>
        </x:is>
      </x:c>
      <x:c r="C87" t="inlineStr">
        <x:is>
          <x:t xml:space="preserve">Linha 2</x:t>
        </x:is>
      </x:c>
      <x:c r="D87" t="inlineStr">
        <x:is>
          <x:t xml:space="preserve">B</x:t>
        </x:is>
      </x:c>
      <x:c r="E87" t="n">
        <x:v>391</x:v>
      </x:c>
      <x:c r="F87" t="n">
        <x:v>353</x:v>
      </x:c>
      <x:c r="G87" t="n">
        <x:v>24</x:v>
      </x:c>
      <x:c r="H87" t="n">
        <x:v>1.94</x:v>
      </x:c>
      <x:c r="I87" t="n">
        <x:v>55.31</x:v>
      </x:c>
      <x:c r="J87" t="n">
        <x:v>58</x:v>
      </x:c>
    </x:row>
    <x:row r="88">
      <x:c r="A88" s="2" t="n">
        <x:v>46256</x:v>
      </x:c>
      <x:c r="B88" t="inlineStr">
        <x:is>
          <x:t xml:space="preserve">Planta São Paulo</x:t>
        </x:is>
      </x:c>
      <x:c r="C88" t="inlineStr">
        <x:is>
          <x:t xml:space="preserve">Linha 3</x:t>
        </x:is>
      </x:c>
      <x:c r="D88" t="inlineStr">
        <x:is>
          <x:t xml:space="preserve">C</x:t>
        </x:is>
      </x:c>
      <x:c r="E88" t="n">
        <x:v>366</x:v>
      </x:c>
      <x:c r="F88" t="n">
        <x:v>285</x:v>
      </x:c>
      <x:c r="G88" t="n">
        <x:v>24</x:v>
      </x:c>
      <x:c r="H88" t="n">
        <x:v>4.08</x:v>
      </x:c>
      <x:c r="I88" t="n">
        <x:v>48.93</x:v>
      </x:c>
      <x:c r="J88" t="n">
        <x:v>54</x:v>
      </x:c>
    </x:row>
    <x:row r="89">
      <x:c r="A89" s="2" t="n">
        <x:v>46256</x:v>
      </x:c>
      <x:c r="B89" t="inlineStr">
        <x:is>
          <x:t xml:space="preserve">Planta São Paulo</x:t>
        </x:is>
      </x:c>
      <x:c r="C89" t="inlineStr">
        <x:is>
          <x:t xml:space="preserve">Linha 4</x:t>
        </x:is>
      </x:c>
      <x:c r="D89" t="inlineStr">
        <x:is>
          <x:t xml:space="preserve">D</x:t>
        </x:is>
      </x:c>
      <x:c r="E89" t="n">
        <x:v>337</x:v>
      </x:c>
      <x:c r="F89" t="n">
        <x:v>317</x:v>
      </x:c>
      <x:c r="G89" t="n">
        <x:v>24</x:v>
      </x:c>
      <x:c r="H89" t="n">
        <x:v>2.26</x:v>
      </x:c>
      <x:c r="I89" t="n">
        <x:v>52.53</x:v>
      </x:c>
      <x:c r="J89" t="n">
        <x:v>55</x:v>
      </x:c>
    </x:row>
    <x:row r="90">
      <x:c r="A90" s="2" t="n">
        <x:v>46257</x:v>
      </x:c>
      <x:c r="B90" t="inlineStr">
        <x:is>
          <x:t xml:space="preserve">Planta São Paulo</x:t>
        </x:is>
      </x:c>
      <x:c r="C90" t="inlineStr">
        <x:is>
          <x:t xml:space="preserve">Linha 1</x:t>
        </x:is>
      </x:c>
      <x:c r="D90" t="inlineStr">
        <x:is>
          <x:t xml:space="preserve">A</x:t>
        </x:is>
      </x:c>
      <x:c r="E90" t="n">
        <x:v>435</x:v>
      </x:c>
      <x:c r="F90" t="n">
        <x:v>444</x:v>
      </x:c>
      <x:c r="G90" t="n">
        <x:v>24</x:v>
      </x:c>
      <x:c r="H90" t="n">
        <x:v>1.24</x:v>
      </x:c>
      <x:c r="I90" t="n">
        <x:v>54.66</x:v>
      </x:c>
      <x:c r="J90" t="n">
        <x:v>60</x:v>
      </x:c>
    </x:row>
    <x:row r="91">
      <x:c r="A91" s="2" t="n">
        <x:v>46257</x:v>
      </x:c>
      <x:c r="B91" t="inlineStr">
        <x:is>
          <x:t xml:space="preserve">Planta São Paulo</x:t>
        </x:is>
      </x:c>
      <x:c r="C91" t="inlineStr">
        <x:is>
          <x:t xml:space="preserve">Linha 2</x:t>
        </x:is>
      </x:c>
      <x:c r="D91" t="inlineStr">
        <x:is>
          <x:t xml:space="preserve">B</x:t>
        </x:is>
      </x:c>
      <x:c r="E91" t="n">
        <x:v>394</x:v>
      </x:c>
      <x:c r="F91" t="n">
        <x:v>353</x:v>
      </x:c>
      <x:c r="G91" t="n">
        <x:v>24</x:v>
      </x:c>
      <x:c r="H91" t="n">
        <x:v>1.02</x:v>
      </x:c>
      <x:c r="I91" t="n">
        <x:v>54.18</x:v>
      </x:c>
      <x:c r="J91" t="n">
        <x:v>58</x:v>
      </x:c>
    </x:row>
    <x:row r="92">
      <x:c r="A92" s="2" t="n">
        <x:v>46257</x:v>
      </x:c>
      <x:c r="B92" t="inlineStr">
        <x:is>
          <x:t xml:space="preserve">Planta São Paulo</x:t>
        </x:is>
      </x:c>
      <x:c r="C92" t="inlineStr">
        <x:is>
          <x:t xml:space="preserve">Linha 3</x:t>
        </x:is>
      </x:c>
      <x:c r="D92" t="inlineStr">
        <x:is>
          <x:t xml:space="preserve">C</x:t>
        </x:is>
      </x:c>
      <x:c r="E92" t="n">
        <x:v>363</x:v>
      </x:c>
      <x:c r="F92" t="n">
        <x:v>320</x:v>
      </x:c>
      <x:c r="G92" t="n">
        <x:v>24</x:v>
      </x:c>
      <x:c r="H92" t="n">
        <x:v>4.76</x:v>
      </x:c>
      <x:c r="I92" t="n">
        <x:v>48.46</x:v>
      </x:c>
      <x:c r="J92" t="n">
        <x:v>54</x:v>
      </x:c>
    </x:row>
    <x:row r="93">
      <x:c r="A93" s="2" t="n">
        <x:v>46257</x:v>
      </x:c>
      <x:c r="B93" t="inlineStr">
        <x:is>
          <x:t xml:space="preserve">Planta São Paulo</x:t>
        </x:is>
      </x:c>
      <x:c r="C93" t="inlineStr">
        <x:is>
          <x:t xml:space="preserve">Linha 4</x:t>
        </x:is>
      </x:c>
      <x:c r="D93" t="inlineStr">
        <x:is>
          <x:t xml:space="preserve">D</x:t>
        </x:is>
      </x:c>
      <x:c r="E93" t="n">
        <x:v>344</x:v>
      </x:c>
      <x:c r="F93" t="n">
        <x:v>321</x:v>
      </x:c>
      <x:c r="G93" t="n">
        <x:v>24</x:v>
      </x:c>
      <x:c r="H93" t="n">
        <x:v>2.07</x:v>
      </x:c>
      <x:c r="I93" t="n">
        <x:v>53.62</x:v>
      </x:c>
      <x:c r="J93" t="n">
        <x:v>55</x:v>
      </x:c>
    </x:row>
    <x:row r="94">
      <x:c r="A94" s="2" t="n">
        <x:v>46258</x:v>
      </x:c>
      <x:c r="B94" t="inlineStr">
        <x:is>
          <x:t xml:space="preserve">Planta São Paulo</x:t>
        </x:is>
      </x:c>
      <x:c r="C94" t="inlineStr">
        <x:is>
          <x:t xml:space="preserve">Linha 1</x:t>
        </x:is>
      </x:c>
      <x:c r="D94" t="inlineStr">
        <x:is>
          <x:t xml:space="preserve">A</x:t>
        </x:is>
      </x:c>
      <x:c r="E94" t="n">
        <x:v>429</x:v>
      </x:c>
      <x:c r="F94" t="n">
        <x:v>432</x:v>
      </x:c>
      <x:c r="G94" t="n">
        <x:v>24</x:v>
      </x:c>
      <x:c r="H94" t="n">
        <x:v>1.74</x:v>
      </x:c>
      <x:c r="I94" t="n">
        <x:v>57.6</x:v>
      </x:c>
      <x:c r="J94" t="n">
        <x:v>60</x:v>
      </x:c>
    </x:row>
    <x:row r="95">
      <x:c r="A95" s="2" t="n">
        <x:v>46258</x:v>
      </x:c>
      <x:c r="B95" t="inlineStr">
        <x:is>
          <x:t xml:space="preserve">Planta São Paulo</x:t>
        </x:is>
      </x:c>
      <x:c r="C95" t="inlineStr">
        <x:is>
          <x:t xml:space="preserve">Linha 2</x:t>
        </x:is>
      </x:c>
      <x:c r="D95" t="inlineStr">
        <x:is>
          <x:t xml:space="preserve">B</x:t>
        </x:is>
      </x:c>
      <x:c r="E95" t="n">
        <x:v>371</x:v>
      </x:c>
      <x:c r="F95" t="n">
        <x:v>355</x:v>
      </x:c>
      <x:c r="G95" t="n">
        <x:v>24</x:v>
      </x:c>
      <x:c r="H95" t="n">
        <x:v>1.77</x:v>
      </x:c>
      <x:c r="I95" t="n">
        <x:v>55.55</x:v>
      </x:c>
      <x:c r="J95" t="n">
        <x:v>58</x:v>
      </x:c>
    </x:row>
    <x:row r="96">
      <x:c r="A96" s="2" t="n">
        <x:v>46258</x:v>
      </x:c>
      <x:c r="B96" t="inlineStr">
        <x:is>
          <x:t xml:space="preserve">Planta São Paulo</x:t>
        </x:is>
      </x:c>
      <x:c r="C96" t="inlineStr">
        <x:is>
          <x:t xml:space="preserve">Linha 3</x:t>
        </x:is>
      </x:c>
      <x:c r="D96" t="inlineStr">
        <x:is>
          <x:t xml:space="preserve">C</x:t>
        </x:is>
      </x:c>
      <x:c r="E96" t="n">
        <x:v>354</x:v>
      </x:c>
      <x:c r="F96" t="n">
        <x:v>284</x:v>
      </x:c>
      <x:c r="G96" t="n">
        <x:v>24</x:v>
      </x:c>
      <x:c r="H96" t="n">
        <x:v>2.45</x:v>
      </x:c>
      <x:c r="I96" t="n">
        <x:v>48.15</x:v>
      </x:c>
      <x:c r="J96" t="n">
        <x:v>54</x:v>
      </x:c>
    </x:row>
    <x:row r="97">
      <x:c r="A97" s="2" t="n">
        <x:v>46258</x:v>
      </x:c>
      <x:c r="B97" t="inlineStr">
        <x:is>
          <x:t xml:space="preserve">Planta São Paulo</x:t>
        </x:is>
      </x:c>
      <x:c r="C97" t="inlineStr">
        <x:is>
          <x:t xml:space="preserve">Linha 4</x:t>
        </x:is>
      </x:c>
      <x:c r="D97" t="inlineStr">
        <x:is>
          <x:t xml:space="preserve">D</x:t>
        </x:is>
      </x:c>
      <x:c r="E97" t="n">
        <x:v>340</x:v>
      </x:c>
      <x:c r="F97" t="n">
        <x:v>320</x:v>
      </x:c>
      <x:c r="G97" t="n">
        <x:v>24</x:v>
      </x:c>
      <x:c r="H97" t="n">
        <x:v>0.34</x:v>
      </x:c>
      <x:c r="I97" t="n">
        <x:v>52.08</x:v>
      </x:c>
      <x:c r="J97" t="n">
        <x:v>55</x:v>
      </x:c>
    </x:row>
    <x:row r="98">
      <x:c r="A98" s="2" t="n">
        <x:v>46259</x:v>
      </x:c>
      <x:c r="B98" t="inlineStr">
        <x:is>
          <x:t xml:space="preserve">Planta São Paulo</x:t>
        </x:is>
      </x:c>
      <x:c r="C98" t="inlineStr">
        <x:is>
          <x:t xml:space="preserve">Linha 1</x:t>
        </x:is>
      </x:c>
      <x:c r="D98" t="inlineStr">
        <x:is>
          <x:t xml:space="preserve">A</x:t>
        </x:is>
      </x:c>
      <x:c r="E98" t="n">
        <x:v>441</x:v>
      </x:c>
      <x:c r="F98" t="n">
        <x:v>452</x:v>
      </x:c>
      <x:c r="G98" t="n">
        <x:v>24</x:v>
      </x:c>
      <x:c r="H98" t="n">
        <x:v>1.29</x:v>
      </x:c>
      <x:c r="I98" t="n">
        <x:v>57.45</x:v>
      </x:c>
      <x:c r="J98" t="n">
        <x:v>60</x:v>
      </x:c>
    </x:row>
    <x:row r="99">
      <x:c r="A99" s="2" t="n">
        <x:v>46259</x:v>
      </x:c>
      <x:c r="B99" t="inlineStr">
        <x:is>
          <x:t xml:space="preserve">Planta São Paulo</x:t>
        </x:is>
      </x:c>
      <x:c r="C99" t="inlineStr">
        <x:is>
          <x:t xml:space="preserve">Linha 2</x:t>
        </x:is>
      </x:c>
      <x:c r="D99" t="inlineStr">
        <x:is>
          <x:t xml:space="preserve">B</x:t>
        </x:is>
      </x:c>
      <x:c r="E99" t="n">
        <x:v>390</x:v>
      </x:c>
      <x:c r="F99" t="n">
        <x:v>377</x:v>
      </x:c>
      <x:c r="G99" t="n">
        <x:v>24</x:v>
      </x:c>
      <x:c r="H99" t="n">
        <x:v>2.97</x:v>
      </x:c>
      <x:c r="I99" t="n">
        <x:v>54.87</x:v>
      </x:c>
      <x:c r="J99" t="n">
        <x:v>58</x:v>
      </x:c>
    </x:row>
    <x:row r="100">
      <x:c r="A100" s="2" t="n">
        <x:v>46259</x:v>
      </x:c>
      <x:c r="B100" t="inlineStr">
        <x:is>
          <x:t xml:space="preserve">Planta São Paulo</x:t>
        </x:is>
      </x:c>
      <x:c r="C100" t="inlineStr">
        <x:is>
          <x:t xml:space="preserve">Linha 3</x:t>
        </x:is>
      </x:c>
      <x:c r="D100" t="inlineStr">
        <x:is>
          <x:t xml:space="preserve">C</x:t>
        </x:is>
      </x:c>
      <x:c r="E100" t="n">
        <x:v>360</x:v>
      </x:c>
      <x:c r="F100" t="n">
        <x:v>314</x:v>
      </x:c>
      <x:c r="G100" t="n">
        <x:v>24</x:v>
      </x:c>
      <x:c r="H100" t="n">
        <x:v>3.22</x:v>
      </x:c>
      <x:c r="I100" t="n">
        <x:v>48.35</x:v>
      </x:c>
      <x:c r="J100" t="n">
        <x:v>54</x:v>
      </x:c>
    </x:row>
    <x:row r="101">
      <x:c r="A101" s="2" t="n">
        <x:v>46259</x:v>
      </x:c>
      <x:c r="B101" t="inlineStr">
        <x:is>
          <x:t xml:space="preserve">Planta São Paulo</x:t>
        </x:is>
      </x:c>
      <x:c r="C101" t="inlineStr">
        <x:is>
          <x:t xml:space="preserve">Linha 4</x:t>
        </x:is>
      </x:c>
      <x:c r="D101" t="inlineStr">
        <x:is>
          <x:t xml:space="preserve">D</x:t>
        </x:is>
      </x:c>
      <x:c r="E101" t="n">
        <x:v>351</x:v>
      </x:c>
      <x:c r="F101" t="n">
        <x:v>307</x:v>
      </x:c>
      <x:c r="G101" t="n">
        <x:v>24</x:v>
      </x:c>
      <x:c r="H101" t="n">
        <x:v>1.45</x:v>
      </x:c>
      <x:c r="I101" t="n">
        <x:v>52.71</x:v>
      </x:c>
      <x:c r="J101" t="n">
        <x:v>55</x:v>
      </x:c>
    </x:row>
    <x:row r="102">
      <x:c r="A102" s="2" t="n">
        <x:v>46260</x:v>
      </x:c>
      <x:c r="B102" t="inlineStr">
        <x:is>
          <x:t xml:space="preserve">Planta São Paulo</x:t>
        </x:is>
      </x:c>
      <x:c r="C102" t="inlineStr">
        <x:is>
          <x:t xml:space="preserve">Linha 1</x:t>
        </x:is>
      </x:c>
      <x:c r="D102" t="inlineStr">
        <x:is>
          <x:t xml:space="preserve">A</x:t>
        </x:is>
      </x:c>
      <x:c r="E102" t="n">
        <x:v>426</x:v>
      </x:c>
      <x:c r="F102" t="n">
        <x:v>428</x:v>
      </x:c>
      <x:c r="G102" t="n">
        <x:v>24</x:v>
      </x:c>
      <x:c r="H102" t="n">
        <x:v>0.8100000000000001</x:v>
      </x:c>
      <x:c r="I102" t="n">
        <x:v>58.54</x:v>
      </x:c>
      <x:c r="J102" t="n">
        <x:v>60</x:v>
      </x:c>
    </x:row>
    <x:row r="103">
      <x:c r="A103" s="2" t="n">
        <x:v>46260</x:v>
      </x:c>
      <x:c r="B103" t="inlineStr">
        <x:is>
          <x:t xml:space="preserve">Planta São Paulo</x:t>
        </x:is>
      </x:c>
      <x:c r="C103" t="inlineStr">
        <x:is>
          <x:t xml:space="preserve">Linha 2</x:t>
        </x:is>
      </x:c>
      <x:c r="D103" t="inlineStr">
        <x:is>
          <x:t xml:space="preserve">B</x:t>
        </x:is>
      </x:c>
      <x:c r="E103" t="n">
        <x:v>379</x:v>
      </x:c>
      <x:c r="F103" t="n">
        <x:v>347</x:v>
      </x:c>
      <x:c r="G103" t="n">
        <x:v>24</x:v>
      </x:c>
      <x:c r="H103" t="n">
        <x:v>1.92</x:v>
      </x:c>
      <x:c r="I103" t="n">
        <x:v>54.08</x:v>
      </x:c>
      <x:c r="J103" t="n">
        <x:v>58</x:v>
      </x:c>
    </x:row>
    <x:row r="104">
      <x:c r="A104" s="2" t="n">
        <x:v>46260</x:v>
      </x:c>
      <x:c r="B104" t="inlineStr">
        <x:is>
          <x:t xml:space="preserve">Planta São Paulo</x:t>
        </x:is>
      </x:c>
      <x:c r="C104" t="inlineStr">
        <x:is>
          <x:t xml:space="preserve">Linha 3</x:t>
        </x:is>
      </x:c>
      <x:c r="D104" t="inlineStr">
        <x:is>
          <x:t xml:space="preserve">C</x:t>
        </x:is>
      </x:c>
      <x:c r="E104" t="n">
        <x:v>361</x:v>
      </x:c>
      <x:c r="F104" t="n">
        <x:v>296</x:v>
      </x:c>
      <x:c r="G104" t="n">
        <x:v>24</x:v>
      </x:c>
      <x:c r="H104" t="n">
        <x:v>4.35</x:v>
      </x:c>
      <x:c r="I104" t="n">
        <x:v>47.75</x:v>
      </x:c>
      <x:c r="J104" t="n">
        <x:v>54</x:v>
      </x:c>
    </x:row>
    <x:row r="105">
      <x:c r="A105" s="2" t="n">
        <x:v>46260</x:v>
      </x:c>
      <x:c r="B105" t="inlineStr">
        <x:is>
          <x:t xml:space="preserve">Planta São Paulo</x:t>
        </x:is>
      </x:c>
      <x:c r="C105" t="inlineStr">
        <x:is>
          <x:t xml:space="preserve">Linha 4</x:t>
        </x:is>
      </x:c>
      <x:c r="D105" t="inlineStr">
        <x:is>
          <x:t xml:space="preserve">D</x:t>
        </x:is>
      </x:c>
      <x:c r="E105" t="n">
        <x:v>363</x:v>
      </x:c>
      <x:c r="F105" t="n">
        <x:v>356</x:v>
      </x:c>
      <x:c r="G105" t="n">
        <x:v>24</x:v>
      </x:c>
      <x:c r="H105" t="n">
        <x:v>2.04</x:v>
      </x:c>
      <x:c r="I105" t="n">
        <x:v>52.55</x:v>
      </x:c>
      <x:c r="J105" t="n">
        <x:v>55</x:v>
      </x:c>
    </x:row>
    <x:row r="106">
      <x:c r="A106" s="2" t="n">
        <x:v>46261</x:v>
      </x:c>
      <x:c r="B106" t="inlineStr">
        <x:is>
          <x:t xml:space="preserve">Planta São Paulo</x:t>
        </x:is>
      </x:c>
      <x:c r="C106" t="inlineStr">
        <x:is>
          <x:t xml:space="preserve">Linha 1</x:t>
        </x:is>
      </x:c>
      <x:c r="D106" t="inlineStr">
        <x:is>
          <x:t xml:space="preserve">A</x:t>
        </x:is>
      </x:c>
      <x:c r="E106" t="n">
        <x:v>421</x:v>
      </x:c>
      <x:c r="F106" t="n">
        <x:v>423</x:v>
      </x:c>
      <x:c r="G106" t="n">
        <x:v>24</x:v>
      </x:c>
      <x:c r="H106" t="n">
        <x:v>0.6</x:v>
      </x:c>
      <x:c r="I106" t="n">
        <x:v>54.53</x:v>
      </x:c>
      <x:c r="J106" t="n">
        <x:v>60</x:v>
      </x:c>
    </x:row>
    <x:row r="107">
      <x:c r="A107" s="2" t="n">
        <x:v>46261</x:v>
      </x:c>
      <x:c r="B107" t="inlineStr">
        <x:is>
          <x:t xml:space="preserve">Planta São Paulo</x:t>
        </x:is>
      </x:c>
      <x:c r="C107" t="inlineStr">
        <x:is>
          <x:t xml:space="preserve">Linha 2</x:t>
        </x:is>
      </x:c>
      <x:c r="D107" t="inlineStr">
        <x:is>
          <x:t xml:space="preserve">B</x:t>
        </x:is>
      </x:c>
      <x:c r="E107" t="n">
        <x:v>381</x:v>
      </x:c>
      <x:c r="F107" t="n">
        <x:v>357</x:v>
      </x:c>
      <x:c r="G107" t="n">
        <x:v>24</x:v>
      </x:c>
      <x:c r="H107" t="n">
        <x:v>1.93</x:v>
      </x:c>
      <x:c r="I107" t="n">
        <x:v>56</x:v>
      </x:c>
      <x:c r="J107" t="n">
        <x:v>58</x:v>
      </x:c>
    </x:row>
    <x:row r="108">
      <x:c r="A108" s="2" t="n">
        <x:v>46261</x:v>
      </x:c>
      <x:c r="B108" t="inlineStr">
        <x:is>
          <x:t xml:space="preserve">Planta São Paulo</x:t>
        </x:is>
      </x:c>
      <x:c r="C108" t="inlineStr">
        <x:is>
          <x:t xml:space="preserve">Linha 3</x:t>
        </x:is>
      </x:c>
      <x:c r="D108" t="inlineStr">
        <x:is>
          <x:t xml:space="preserve">C</x:t>
        </x:is>
      </x:c>
      <x:c r="E108" t="n">
        <x:v>356</x:v>
      </x:c>
      <x:c r="F108" t="n">
        <x:v>285</x:v>
      </x:c>
      <x:c r="G108" t="n">
        <x:v>24</x:v>
      </x:c>
      <x:c r="H108" t="n">
        <x:v>4.48</x:v>
      </x:c>
      <x:c r="I108" t="n">
        <x:v>48.56</x:v>
      </x:c>
      <x:c r="J108" t="n">
        <x:v>54</x:v>
      </x:c>
    </x:row>
    <x:row r="109">
      <x:c r="A109" s="2" t="n">
        <x:v>46261</x:v>
      </x:c>
      <x:c r="B109" t="inlineStr">
        <x:is>
          <x:t xml:space="preserve">Planta São Paulo</x:t>
        </x:is>
      </x:c>
      <x:c r="C109" t="inlineStr">
        <x:is>
          <x:t xml:space="preserve">Linha 4</x:t>
        </x:is>
      </x:c>
      <x:c r="D109" t="inlineStr">
        <x:is>
          <x:t xml:space="preserve">D</x:t>
        </x:is>
      </x:c>
      <x:c r="E109" t="n">
        <x:v>338</x:v>
      </x:c>
      <x:c r="F109" t="n">
        <x:v>318</x:v>
      </x:c>
      <x:c r="G109" t="n">
        <x:v>24</x:v>
      </x:c>
      <x:c r="H109" t="n">
        <x:v>1.04</x:v>
      </x:c>
      <x:c r="I109" t="n">
        <x:v>50.82</x:v>
      </x:c>
      <x:c r="J109" t="n">
        <x:v>55</x:v>
      </x:c>
    </x:row>
    <x:row r="110">
      <x:c r="A110" s="2" t="n">
        <x:v>46262</x:v>
      </x:c>
      <x:c r="B110" t="inlineStr">
        <x:is>
          <x:t xml:space="preserve">Planta São Paulo</x:t>
        </x:is>
      </x:c>
      <x:c r="C110" t="inlineStr">
        <x:is>
          <x:t xml:space="preserve">Linha 1</x:t>
        </x:is>
      </x:c>
      <x:c r="D110" t="inlineStr">
        <x:is>
          <x:t xml:space="preserve">A</x:t>
        </x:is>
      </x:c>
      <x:c r="E110" t="n">
        <x:v>419</x:v>
      </x:c>
      <x:c r="F110" t="n">
        <x:v>423</x:v>
      </x:c>
      <x:c r="G110" t="n">
        <x:v>24</x:v>
      </x:c>
      <x:c r="H110" t="n">
        <x:v>2.33</x:v>
      </x:c>
      <x:c r="I110" t="n">
        <x:v>56.65</x:v>
      </x:c>
      <x:c r="J110" t="n">
        <x:v>60</x:v>
      </x:c>
    </x:row>
    <x:row r="111">
      <x:c r="A111" s="2" t="n">
        <x:v>46262</x:v>
      </x:c>
      <x:c r="B111" t="inlineStr">
        <x:is>
          <x:t xml:space="preserve">Planta São Paulo</x:t>
        </x:is>
      </x:c>
      <x:c r="C111" t="inlineStr">
        <x:is>
          <x:t xml:space="preserve">Linha 2</x:t>
        </x:is>
      </x:c>
      <x:c r="D111" t="inlineStr">
        <x:is>
          <x:t xml:space="preserve">B</x:t>
        </x:is>
      </x:c>
      <x:c r="E111" t="n">
        <x:v>396</x:v>
      </x:c>
      <x:c r="F111" t="n">
        <x:v>380</x:v>
      </x:c>
      <x:c r="G111" t="n">
        <x:v>24</x:v>
      </x:c>
      <x:c r="H111" t="n">
        <x:v>1.5</x:v>
      </x:c>
      <x:c r="I111" t="n">
        <x:v>57.89</x:v>
      </x:c>
      <x:c r="J111" t="n">
        <x:v>58</x:v>
      </x:c>
    </x:row>
    <x:row r="112">
      <x:c r="A112" s="2" t="n">
        <x:v>46262</x:v>
      </x:c>
      <x:c r="B112" t="inlineStr">
        <x:is>
          <x:t xml:space="preserve">Planta São Paulo</x:t>
        </x:is>
      </x:c>
      <x:c r="C112" t="inlineStr">
        <x:is>
          <x:t xml:space="preserve">Linha 3</x:t>
        </x:is>
      </x:c>
      <x:c r="D112" t="inlineStr">
        <x:is>
          <x:t xml:space="preserve">C</x:t>
        </x:is>
      </x:c>
      <x:c r="E112" t="n">
        <x:v>338</x:v>
      </x:c>
      <x:c r="F112" t="n">
        <x:v>287</x:v>
      </x:c>
      <x:c r="G112" t="n">
        <x:v>24</x:v>
      </x:c>
      <x:c r="H112" t="n">
        <x:v>3.68</x:v>
      </x:c>
      <x:c r="I112" t="n">
        <x:v>49.19</x:v>
      </x:c>
      <x:c r="J112" t="n">
        <x:v>54</x:v>
      </x:c>
    </x:row>
    <x:row r="113">
      <x:c r="A113" s="2" t="n">
        <x:v>46262</x:v>
      </x:c>
      <x:c r="B113" t="inlineStr">
        <x:is>
          <x:t xml:space="preserve">Planta São Paulo</x:t>
        </x:is>
      </x:c>
      <x:c r="C113" t="inlineStr">
        <x:is>
          <x:t xml:space="preserve">Linha 4</x:t>
        </x:is>
      </x:c>
      <x:c r="D113" t="inlineStr">
        <x:is>
          <x:t xml:space="preserve">D</x:t>
        </x:is>
      </x:c>
      <x:c r="E113" t="n">
        <x:v>323</x:v>
      </x:c>
      <x:c r="F113" t="n">
        <x:v>300</x:v>
      </x:c>
      <x:c r="G113" t="n">
        <x:v>24</x:v>
      </x:c>
      <x:c r="H113" t="n">
        <x:v>1.56</x:v>
      </x:c>
      <x:c r="I113" t="n">
        <x:v>51.8</x:v>
      </x:c>
      <x:c r="J113" t="n">
        <x:v>55</x:v>
      </x:c>
    </x:row>
    <x:row r="114">
      <x:c r="A114" s="2" t="n">
        <x:v>46263</x:v>
      </x:c>
      <x:c r="B114" t="inlineStr">
        <x:is>
          <x:t xml:space="preserve">Planta São Paulo</x:t>
        </x:is>
      </x:c>
      <x:c r="C114" t="inlineStr">
        <x:is>
          <x:t xml:space="preserve">Linha 1</x:t>
        </x:is>
      </x:c>
      <x:c r="D114" t="inlineStr">
        <x:is>
          <x:t xml:space="preserve">A</x:t>
        </x:is>
      </x:c>
      <x:c r="E114" t="n">
        <x:v>435</x:v>
      </x:c>
      <x:c r="F114" t="n">
        <x:v>434</x:v>
      </x:c>
      <x:c r="G114" t="n">
        <x:v>24</x:v>
      </x:c>
      <x:c r="H114" t="n">
        <x:v>1.77</x:v>
      </x:c>
      <x:c r="I114" t="n">
        <x:v>59.97</x:v>
      </x:c>
      <x:c r="J114" t="n">
        <x:v>60</x:v>
      </x:c>
    </x:row>
    <x:row r="115">
      <x:c r="A115" s="2" t="n">
        <x:v>46263</x:v>
      </x:c>
      <x:c r="B115" t="inlineStr">
        <x:is>
          <x:t xml:space="preserve">Planta São Paulo</x:t>
        </x:is>
      </x:c>
      <x:c r="C115" t="inlineStr">
        <x:is>
          <x:t xml:space="preserve">Linha 2</x:t>
        </x:is>
      </x:c>
      <x:c r="D115" t="inlineStr">
        <x:is>
          <x:t xml:space="preserve">B</x:t>
        </x:is>
      </x:c>
      <x:c r="E115" t="n">
        <x:v>380</x:v>
      </x:c>
      <x:c r="F115" t="n">
        <x:v>343</x:v>
      </x:c>
      <x:c r="G115" t="n">
        <x:v>24</x:v>
      </x:c>
      <x:c r="H115" t="n">
        <x:v>1.5</x:v>
      </x:c>
      <x:c r="I115" t="n">
        <x:v>55.22</x:v>
      </x:c>
      <x:c r="J115" t="n">
        <x:v>58</x:v>
      </x:c>
    </x:row>
    <x:row r="116">
      <x:c r="A116" s="2" t="n">
        <x:v>46263</x:v>
      </x:c>
      <x:c r="B116" t="inlineStr">
        <x:is>
          <x:t xml:space="preserve">Planta São Paulo</x:t>
        </x:is>
      </x:c>
      <x:c r="C116" t="inlineStr">
        <x:is>
          <x:t xml:space="preserve">Linha 3</x:t>
        </x:is>
      </x:c>
      <x:c r="D116" t="inlineStr">
        <x:is>
          <x:t xml:space="preserve">C</x:t>
        </x:is>
      </x:c>
      <x:c r="E116" t="n">
        <x:v>363</x:v>
      </x:c>
      <x:c r="F116" t="n">
        <x:v>300</x:v>
      </x:c>
      <x:c r="G116" t="n">
        <x:v>24</x:v>
      </x:c>
      <x:c r="H116" t="n">
        <x:v>3.61</x:v>
      </x:c>
      <x:c r="I116" t="n">
        <x:v>48.5</x:v>
      </x:c>
      <x:c r="J116" t="n">
        <x:v>54</x:v>
      </x:c>
    </x:row>
    <x:row r="117">
      <x:c r="A117" s="2" t="n">
        <x:v>46263</x:v>
      </x:c>
      <x:c r="B117" t="inlineStr">
        <x:is>
          <x:t xml:space="preserve">Planta São Paulo</x:t>
        </x:is>
      </x:c>
      <x:c r="C117" t="inlineStr">
        <x:is>
          <x:t xml:space="preserve">Linha 4</x:t>
        </x:is>
      </x:c>
      <x:c r="D117" t="inlineStr">
        <x:is>
          <x:t xml:space="preserve">D</x:t>
        </x:is>
      </x:c>
      <x:c r="E117" t="n">
        <x:v>323</x:v>
      </x:c>
      <x:c r="F117" t="n">
        <x:v>297</x:v>
      </x:c>
      <x:c r="G117" t="n">
        <x:v>24</x:v>
      </x:c>
      <x:c r="H117" t="n">
        <x:v>3.11</x:v>
      </x:c>
      <x:c r="I117" t="n">
        <x:v>54.97</x:v>
      </x:c>
      <x:c r="J117" t="n">
        <x:v>55</x:v>
      </x:c>
    </x:row>
    <x:row r="118">
      <x:c r="A118" s="2" t="n">
        <x:v>46264</x:v>
      </x:c>
      <x:c r="B118" t="inlineStr">
        <x:is>
          <x:t xml:space="preserve">Planta São Paulo</x:t>
        </x:is>
      </x:c>
      <x:c r="C118" t="inlineStr">
        <x:is>
          <x:t xml:space="preserve">Linha 1</x:t>
        </x:is>
      </x:c>
      <x:c r="D118" t="inlineStr">
        <x:is>
          <x:t xml:space="preserve">A</x:t>
        </x:is>
      </x:c>
      <x:c r="E118" t="n">
        <x:v>438</x:v>
      </x:c>
      <x:c r="F118" t="n">
        <x:v>433</x:v>
      </x:c>
      <x:c r="G118" t="n">
        <x:v>24</x:v>
      </x:c>
      <x:c r="H118" t="n">
        <x:v>1.06</x:v>
      </x:c>
      <x:c r="I118" t="n">
        <x:v>56.56</x:v>
      </x:c>
      <x:c r="J118" t="n">
        <x:v>60</x:v>
      </x:c>
    </x:row>
    <x:row r="119">
      <x:c r="A119" s="2" t="n">
        <x:v>46264</x:v>
      </x:c>
      <x:c r="B119" t="inlineStr">
        <x:is>
          <x:t xml:space="preserve">Planta São Paulo</x:t>
        </x:is>
      </x:c>
      <x:c r="C119" t="inlineStr">
        <x:is>
          <x:t xml:space="preserve">Linha 2</x:t>
        </x:is>
      </x:c>
      <x:c r="D119" t="inlineStr">
        <x:is>
          <x:t xml:space="preserve">B</x:t>
        </x:is>
      </x:c>
      <x:c r="E119" t="n">
        <x:v>389</x:v>
      </x:c>
      <x:c r="F119" t="n">
        <x:v>353</x:v>
      </x:c>
      <x:c r="G119" t="n">
        <x:v>24</x:v>
      </x:c>
      <x:c r="H119" t="n">
        <x:v>1.58</x:v>
      </x:c>
      <x:c r="I119" t="n">
        <x:v>58.41</x:v>
      </x:c>
      <x:c r="J119" t="n">
        <x:v>58</x:v>
      </x:c>
    </x:row>
    <x:row r="120">
      <x:c r="A120" s="2" t="n">
        <x:v>46264</x:v>
      </x:c>
      <x:c r="B120" t="inlineStr">
        <x:is>
          <x:t xml:space="preserve">Planta São Paulo</x:t>
        </x:is>
      </x:c>
      <x:c r="C120" t="inlineStr">
        <x:is>
          <x:t xml:space="preserve">Linha 3</x:t>
        </x:is>
      </x:c>
      <x:c r="D120" t="inlineStr">
        <x:is>
          <x:t xml:space="preserve">C</x:t>
        </x:is>
      </x:c>
      <x:c r="E120" t="n">
        <x:v>368</x:v>
      </x:c>
      <x:c r="F120" t="n">
        <x:v>293</x:v>
      </x:c>
      <x:c r="G120" t="n">
        <x:v>24</x:v>
      </x:c>
      <x:c r="H120" t="n">
        <x:v>3.68</x:v>
      </x:c>
      <x:c r="I120" t="n">
        <x:v>49.84</x:v>
      </x:c>
      <x:c r="J120" t="n">
        <x:v>54</x:v>
      </x:c>
    </x:row>
    <x:row r="121">
      <x:c r="A121" s="2" t="n">
        <x:v>46264</x:v>
      </x:c>
      <x:c r="B121" t="inlineStr">
        <x:is>
          <x:t xml:space="preserve">Planta São Paulo</x:t>
        </x:is>
      </x:c>
      <x:c r="C121" t="inlineStr">
        <x:is>
          <x:t xml:space="preserve">Linha 4</x:t>
        </x:is>
      </x:c>
      <x:c r="D121" t="inlineStr">
        <x:is>
          <x:t xml:space="preserve">D</x:t>
        </x:is>
      </x:c>
      <x:c r="E121" t="n">
        <x:v>356</x:v>
      </x:c>
      <x:c r="F121" t="n">
        <x:v>320</x:v>
      </x:c>
      <x:c r="G121" t="n">
        <x:v>24</x:v>
      </x:c>
      <x:c r="H121" t="n">
        <x:v>2.05</x:v>
      </x:c>
      <x:c r="I121" t="n">
        <x:v>51.53</x:v>
      </x:c>
      <x:c r="J121" t="n">
        <x:v>55</x:v>
      </x:c>
    </x:row>
    <x:row r="122">
      <x:c r="A122" s="2" t="n">
        <x:v>46265</x:v>
      </x:c>
      <x:c r="B122" t="inlineStr">
        <x:is>
          <x:t xml:space="preserve">Planta São Paulo</x:t>
        </x:is>
      </x:c>
      <x:c r="C122" t="inlineStr">
        <x:is>
          <x:t xml:space="preserve">Linha 1</x:t>
        </x:is>
      </x:c>
      <x:c r="D122" t="inlineStr">
        <x:is>
          <x:t xml:space="preserve">A</x:t>
        </x:is>
      </x:c>
      <x:c r="E122" t="n">
        <x:v>413</x:v>
      </x:c>
      <x:c r="F122" t="n">
        <x:v>417</x:v>
      </x:c>
      <x:c r="G122" t="n">
        <x:v>24</x:v>
      </x:c>
      <x:c r="H122" t="n">
        <x:v>1.46</x:v>
      </x:c>
      <x:c r="I122" t="n">
        <x:v>59.09</x:v>
      </x:c>
      <x:c r="J122" t="n">
        <x:v>60</x:v>
      </x:c>
    </x:row>
    <x:row r="123">
      <x:c r="A123" s="2" t="n">
        <x:v>46265</x:v>
      </x:c>
      <x:c r="B123" t="inlineStr">
        <x:is>
          <x:t xml:space="preserve">Planta São Paulo</x:t>
        </x:is>
      </x:c>
      <x:c r="C123" t="inlineStr">
        <x:is>
          <x:t xml:space="preserve">Linha 2</x:t>
        </x:is>
      </x:c>
      <x:c r="D123" t="inlineStr">
        <x:is>
          <x:t xml:space="preserve">B</x:t>
        </x:is>
      </x:c>
      <x:c r="E123" t="n">
        <x:v>387</x:v>
      </x:c>
      <x:c r="F123" t="n">
        <x:v>356</x:v>
      </x:c>
      <x:c r="G123" t="n">
        <x:v>24</x:v>
      </x:c>
      <x:c r="H123" t="n">
        <x:v>2.12</x:v>
      </x:c>
      <x:c r="I123" t="n">
        <x:v>53.77</x:v>
      </x:c>
      <x:c r="J123" t="n">
        <x:v>58</x:v>
      </x:c>
    </x:row>
    <x:row r="124">
      <x:c r="A124" s="2" t="n">
        <x:v>46265</x:v>
      </x:c>
      <x:c r="B124" t="inlineStr">
        <x:is>
          <x:t xml:space="preserve">Planta São Paulo</x:t>
        </x:is>
      </x:c>
      <x:c r="C124" t="inlineStr">
        <x:is>
          <x:t xml:space="preserve">Linha 3</x:t>
        </x:is>
      </x:c>
      <x:c r="D124" t="inlineStr">
        <x:is>
          <x:t xml:space="preserve">C</x:t>
        </x:is>
      </x:c>
      <x:c r="E124" t="n">
        <x:v>353</x:v>
      </x:c>
      <x:c r="F124" t="n">
        <x:v>297</x:v>
      </x:c>
      <x:c r="G124" t="n">
        <x:v>24</x:v>
      </x:c>
      <x:c r="H124" t="n">
        <x:v>3.99</x:v>
      </x:c>
      <x:c r="I124" t="n">
        <x:v>50.74</x:v>
      </x:c>
      <x:c r="J124" t="n">
        <x:v>54</x:v>
      </x:c>
    </x:row>
    <x:row r="125">
      <x:c r="A125" s="2" t="n">
        <x:v>46265</x:v>
      </x:c>
      <x:c r="B125" t="inlineStr">
        <x:is>
          <x:t xml:space="preserve">Planta São Paulo</x:t>
        </x:is>
      </x:c>
      <x:c r="C125" t="inlineStr">
        <x:is>
          <x:t xml:space="preserve">Linha 4</x:t>
        </x:is>
      </x:c>
      <x:c r="D125" t="inlineStr">
        <x:is>
          <x:t xml:space="preserve">D</x:t>
        </x:is>
      </x:c>
      <x:c r="E125" t="n">
        <x:v>332</x:v>
      </x:c>
      <x:c r="F125" t="n">
        <x:v>297</x:v>
      </x:c>
      <x:c r="G125" t="n">
        <x:v>24</x:v>
      </x:c>
      <x:c r="H125" t="n">
        <x:v>1.27</x:v>
      </x:c>
      <x:c r="I125" t="n">
        <x:v>52.85</x:v>
      </x:c>
      <x:c r="J125" t="n">
        <x:v>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Produzido</x:t>
        </x:is>
      </x:c>
      <x:c r="E1" s="1" t="inlineStr">
        <x:is>
          <x:t xml:space="preserve">Aprovado</x:t>
        </x:is>
      </x:c>
      <x:c r="F1" s="1" t="inlineStr">
        <x:is>
          <x:t xml:space="preserve">Refugo</x:t>
        </x:is>
      </x:c>
      <x:c r="G1" s="1" t="inlineStr">
        <x:is>
          <x:t xml:space="preserve">Retrabalho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420</x:v>
      </x:c>
      <x:c r="E2" t="n">
        <x:v>412</x:v>
      </x:c>
      <x:c r="F2" t="n">
        <x:v>8</x:v>
      </x:c>
      <x:c r="G2" t="n">
        <x:v>4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375</x:v>
      </x:c>
      <x:c r="E3" t="n">
        <x:v>366</x:v>
      </x:c>
      <x:c r="F3" t="n">
        <x:v>9</x:v>
      </x:c>
      <x:c r="G3" t="n">
        <x:v>4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290</x:v>
      </x:c>
      <x:c r="E4" t="n">
        <x:v>279</x:v>
      </x:c>
      <x:c r="F4" t="n">
        <x:v>11</x:v>
      </x:c>
      <x:c r="G4" t="n">
        <x:v>3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293</x:v>
      </x:c>
      <x:c r="E5" t="n">
        <x:v>286</x:v>
      </x:c>
      <x:c r="F5" t="n">
        <x:v>7</x:v>
      </x:c>
      <x:c r="G5" t="n">
        <x:v>3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378</x:v>
      </x:c>
      <x:c r="E6" t="n">
        <x:v>372</x:v>
      </x:c>
      <x:c r="F6" t="n">
        <x:v>6</x:v>
      </x:c>
      <x:c r="G6" t="n">
        <x:v>4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347</x:v>
      </x:c>
      <x:c r="E7" t="n">
        <x:v>339</x:v>
      </x:c>
      <x:c r="F7" t="n">
        <x:v>8</x:v>
      </x:c>
      <x:c r="G7" t="n">
        <x:v>3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292</x:v>
      </x:c>
      <x:c r="E8" t="n">
        <x:v>281</x:v>
      </x:c>
      <x:c r="F8" t="n">
        <x:v>11</x:v>
      </x:c>
      <x:c r="G8" t="n">
        <x:v>3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307</x:v>
      </x:c>
      <x:c r="E9" t="n">
        <x:v>298</x:v>
      </x:c>
      <x:c r="F9" t="n">
        <x:v>9</x:v>
      </x:c>
      <x:c r="G9" t="n">
        <x:v>3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402</x:v>
      </x:c>
      <x:c r="E10" t="n">
        <x:v>392</x:v>
      </x:c>
      <x:c r="F10" t="n">
        <x:v>10</x:v>
      </x:c>
      <x:c r="G10" t="n">
        <x:v>4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374</x:v>
      </x:c>
      <x:c r="E11" t="n">
        <x:v>366</x:v>
      </x:c>
      <x:c r="F11" t="n">
        <x:v>8</x:v>
      </x:c>
      <x:c r="G11" t="n">
        <x:v>4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292</x:v>
      </x:c>
      <x:c r="E12" t="n">
        <x:v>282</x:v>
      </x:c>
      <x:c r="F12" t="n">
        <x:v>10</x:v>
      </x:c>
      <x:c r="G12" t="n">
        <x:v>3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290</x:v>
      </x:c>
      <x:c r="E13" t="n">
        <x:v>283</x:v>
      </x:c>
      <x:c r="F13" t="n">
        <x:v>7</x:v>
      </x:c>
      <x:c r="G13" t="n">
        <x:v>3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408</x:v>
      </x:c>
      <x:c r="E14" t="n">
        <x:v>400</x:v>
      </x:c>
      <x:c r="F14" t="n">
        <x:v>8</x:v>
      </x:c>
      <x:c r="G14" t="n">
        <x:v>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351</x:v>
      </x:c>
      <x:c r="E15" t="n">
        <x:v>342</x:v>
      </x:c>
      <x:c r="F15" t="n">
        <x:v>9</x:v>
      </x:c>
      <x:c r="G15" t="n">
        <x:v>4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306</x:v>
      </x:c>
      <x:c r="E16" t="n">
        <x:v>293</x:v>
      </x:c>
      <x:c r="F16" t="n">
        <x:v>13</x:v>
      </x:c>
      <x:c r="G16" t="n">
        <x:v>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299</x:v>
      </x:c>
      <x:c r="E17" t="n">
        <x:v>293</x:v>
      </x:c>
      <x:c r="F17" t="n">
        <x:v>6</x:v>
      </x:c>
      <x:c r="G17" t="n">
        <x:v>3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433</x:v>
      </x:c>
      <x:c r="E18" t="n">
        <x:v>423</x:v>
      </x:c>
      <x:c r="F18" t="n">
        <x:v>10</x:v>
      </x:c>
      <x:c r="G18" t="n">
        <x:v>4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381</x:v>
      </x:c>
      <x:c r="E19" t="n">
        <x:v>373</x:v>
      </x:c>
      <x:c r="F19" t="n">
        <x:v>8</x:v>
      </x:c>
      <x:c r="G19" t="n">
        <x:v>4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292</x:v>
      </x:c>
      <x:c r="E20" t="n">
        <x:v>280</x:v>
      </x:c>
      <x:c r="F20" t="n">
        <x:v>12</x:v>
      </x:c>
      <x:c r="G20" t="n">
        <x:v>3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283</x:v>
      </x:c>
      <x:c r="E21" t="n">
        <x:v>276</x:v>
      </x:c>
      <x:c r="F21" t="n">
        <x:v>7</x:v>
      </x:c>
      <x:c r="G21" t="n">
        <x:v>3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414</x:v>
      </x:c>
      <x:c r="E22" t="n">
        <x:v>407</x:v>
      </x:c>
      <x:c r="F22" t="n">
        <x:v>7</x:v>
      </x:c>
      <x:c r="G22" t="n">
        <x:v>4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363</x:v>
      </x:c>
      <x:c r="E23" t="n">
        <x:v>353</x:v>
      </x:c>
      <x:c r="F23" t="n">
        <x:v>10</x:v>
      </x:c>
      <x:c r="G23" t="n">
        <x:v>4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290</x:v>
      </x:c>
      <x:c r="E24" t="n">
        <x:v>277</x:v>
      </x:c>
      <x:c r="F24" t="n">
        <x:v>13</x:v>
      </x:c>
      <x:c r="G24" t="n">
        <x:v>3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306</x:v>
      </x:c>
      <x:c r="E25" t="n">
        <x:v>299</x:v>
      </x:c>
      <x:c r="F25" t="n">
        <x:v>7</x:v>
      </x:c>
      <x:c r="G25" t="n">
        <x:v>3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395</x:v>
      </x:c>
      <x:c r="E26" t="n">
        <x:v>387</x:v>
      </x:c>
      <x:c r="F26" t="n">
        <x:v>8</x:v>
      </x:c>
      <x:c r="G26" t="n">
        <x:v>4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364</x:v>
      </x:c>
      <x:c r="E27" t="n">
        <x:v>359</x:v>
      </x:c>
      <x:c r="F27" t="n">
        <x:v>5</x:v>
      </x:c>
      <x:c r="G27" t="n">
        <x:v>4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299</x:v>
      </x:c>
      <x:c r="E28" t="n">
        <x:v>287</x:v>
      </x:c>
      <x:c r="F28" t="n">
        <x:v>12</x:v>
      </x:c>
      <x:c r="G28" t="n">
        <x:v>3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315</x:v>
      </x:c>
      <x:c r="E29" t="n">
        <x:v>308</x:v>
      </x:c>
      <x:c r="F29" t="n">
        <x:v>7</x:v>
      </x:c>
      <x:c r="G29" t="n">
        <x:v>3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417</x:v>
      </x:c>
      <x:c r="E30" t="n">
        <x:v>408</x:v>
      </x:c>
      <x:c r="F30" t="n">
        <x:v>9</x:v>
      </x:c>
      <x:c r="G30" t="n">
        <x:v>4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364</x:v>
      </x:c>
      <x:c r="E31" t="n">
        <x:v>355</x:v>
      </x:c>
      <x:c r="F31" t="n">
        <x:v>9</x:v>
      </x:c>
      <x:c r="G31" t="n">
        <x:v>4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312</x:v>
      </x:c>
      <x:c r="E32" t="n">
        <x:v>300</x:v>
      </x:c>
      <x:c r="F32" t="n">
        <x:v>12</x:v>
      </x:c>
      <x:c r="G32" t="n">
        <x:v>3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326</x:v>
      </x:c>
      <x:c r="E33" t="n">
        <x:v>317</x:v>
      </x:c>
      <x:c r="F33" t="n">
        <x:v>9</x:v>
      </x:c>
      <x:c r="G33" t="n">
        <x:v>3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405</x:v>
      </x:c>
      <x:c r="E34" t="n">
        <x:v>395</x:v>
      </x:c>
      <x:c r="F34" t="n">
        <x:v>10</x:v>
      </x:c>
      <x:c r="G34" t="n">
        <x:v>4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346</x:v>
      </x:c>
      <x:c r="E35" t="n">
        <x:v>338</x:v>
      </x:c>
      <x:c r="F35" t="n">
        <x:v>8</x:v>
      </x:c>
      <x:c r="G35" t="n">
        <x:v>3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287</x:v>
      </x:c>
      <x:c r="E36" t="n">
        <x:v>275</x:v>
      </x:c>
      <x:c r="F36" t="n">
        <x:v>12</x:v>
      </x:c>
      <x:c r="G36" t="n">
        <x:v>3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297</x:v>
      </x:c>
      <x:c r="E37" t="n">
        <x:v>290</x:v>
      </x:c>
      <x:c r="F37" t="n">
        <x:v>7</x:v>
      </x:c>
      <x:c r="G37" t="n">
        <x:v>3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446</x:v>
      </x:c>
      <x:c r="E38" t="n">
        <x:v>436</x:v>
      </x:c>
      <x:c r="F38" t="n">
        <x:v>10</x:v>
      </x:c>
      <x:c r="G38" t="n">
        <x:v>4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346</x:v>
      </x:c>
      <x:c r="E39" t="n">
        <x:v>338</x:v>
      </x:c>
      <x:c r="F39" t="n">
        <x:v>8</x:v>
      </x:c>
      <x:c r="G39" t="n">
        <x:v>3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309</x:v>
      </x:c>
      <x:c r="E40" t="n">
        <x:v>299</x:v>
      </x:c>
      <x:c r="F40" t="n">
        <x:v>10</x:v>
      </x:c>
      <x:c r="G40" t="n">
        <x:v>3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321</x:v>
      </x:c>
      <x:c r="E41" t="n">
        <x:v>315</x:v>
      </x:c>
      <x:c r="F41" t="n">
        <x:v>6</x:v>
      </x:c>
      <x:c r="G41" t="n">
        <x:v>3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418</x:v>
      </x:c>
      <x:c r="E42" t="n">
        <x:v>407</x:v>
      </x:c>
      <x:c r="F42" t="n">
        <x:v>11</x:v>
      </x:c>
      <x:c r="G42" t="n">
        <x:v>4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361</x:v>
      </x:c>
      <x:c r="E43" t="n">
        <x:v>355</x:v>
      </x:c>
      <x:c r="F43" t="n">
        <x:v>6</x:v>
      </x:c>
      <x:c r="G43" t="n">
        <x:v>4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284</x:v>
      </x:c>
      <x:c r="E44" t="n">
        <x:v>273</x:v>
      </x:c>
      <x:c r="F44" t="n">
        <x:v>11</x:v>
      </x:c>
      <x:c r="G44" t="n">
        <x:v>3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291</x:v>
      </x:c>
      <x:c r="E45" t="n">
        <x:v>286</x:v>
      </x:c>
      <x:c r="F45" t="n">
        <x:v>5</x:v>
      </x:c>
      <x:c r="G45" t="n">
        <x:v>3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428</x:v>
      </x:c>
      <x:c r="E46" t="n">
        <x:v>416</x:v>
      </x:c>
      <x:c r="F46" t="n">
        <x:v>12</x:v>
      </x:c>
      <x:c r="G46" t="n">
        <x:v>4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364</x:v>
      </x:c>
      <x:c r="E47" t="n">
        <x:v>355</x:v>
      </x:c>
      <x:c r="F47" t="n">
        <x:v>9</x:v>
      </x:c>
      <x:c r="G47" t="n">
        <x:v>4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298</x:v>
      </x:c>
      <x:c r="E48" t="n">
        <x:v>284</x:v>
      </x:c>
      <x:c r="F48" t="n">
        <x:v>14</x:v>
      </x:c>
      <x:c r="G48" t="n">
        <x:v>3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301</x:v>
      </x:c>
      <x:c r="E49" t="n">
        <x:v>294</x:v>
      </x:c>
      <x:c r="F49" t="n">
        <x:v>7</x:v>
      </x:c>
      <x:c r="G49" t="n">
        <x:v>3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401</x:v>
      </x:c>
      <x:c r="E50" t="n">
        <x:v>393</x:v>
      </x:c>
      <x:c r="F50" t="n">
        <x:v>8</x:v>
      </x:c>
      <x:c r="G50" t="n">
        <x:v>4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346</x:v>
      </x:c>
      <x:c r="E51" t="n">
        <x:v>339</x:v>
      </x:c>
      <x:c r="F51" t="n">
        <x:v>7</x:v>
      </x:c>
      <x:c r="G51" t="n">
        <x:v>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309</x:v>
      </x:c>
      <x:c r="E52" t="n">
        <x:v>296</x:v>
      </x:c>
      <x:c r="F52" t="n">
        <x:v>13</x:v>
      </x:c>
      <x:c r="G52" t="n">
        <x:v>3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329</x:v>
      </x:c>
      <x:c r="E53" t="n">
        <x:v>321</x:v>
      </x:c>
      <x:c r="F53" t="n">
        <x:v>8</x:v>
      </x:c>
      <x:c r="G53" t="n">
        <x:v>3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418</x:v>
      </x:c>
      <x:c r="E54" t="n">
        <x:v>406</x:v>
      </x:c>
      <x:c r="F54" t="n">
        <x:v>12</x:v>
      </x:c>
      <x:c r="G54" t="n">
        <x:v>4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386</x:v>
      </x:c>
      <x:c r="E55" t="n">
        <x:v>377</x:v>
      </x:c>
      <x:c r="F55" t="n">
        <x:v>9</x:v>
      </x:c>
      <x:c r="G55" t="n">
        <x:v>4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297</x:v>
      </x:c>
      <x:c r="E56" t="n">
        <x:v>284</x:v>
      </x:c>
      <x:c r="F56" t="n">
        <x:v>13</x:v>
      </x:c>
      <x:c r="G56" t="n">
        <x:v>3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313</x:v>
      </x:c>
      <x:c r="E57" t="n">
        <x:v>306</x:v>
      </x:c>
      <x:c r="F57" t="n">
        <x:v>7</x:v>
      </x:c>
      <x:c r="G57" t="n">
        <x:v>3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447</x:v>
      </x:c>
      <x:c r="E58" t="n">
        <x:v>436</x:v>
      </x:c>
      <x:c r="F58" t="n">
        <x:v>11</x:v>
      </x:c>
      <x:c r="G58" t="n">
        <x:v>4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384</x:v>
      </x:c>
      <x:c r="E59" t="n">
        <x:v>376</x:v>
      </x:c>
      <x:c r="F59" t="n">
        <x:v>8</x:v>
      </x:c>
      <x:c r="G59" t="n">
        <x:v>4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329</x:v>
      </x:c>
      <x:c r="E60" t="n">
        <x:v>317</x:v>
      </x:c>
      <x:c r="F60" t="n">
        <x:v>12</x:v>
      </x:c>
      <x:c r="G60" t="n">
        <x:v>3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303</x:v>
      </x:c>
      <x:c r="E61" t="n">
        <x:v>295</x:v>
      </x:c>
      <x:c r="F61" t="n">
        <x:v>8</x:v>
      </x:c>
      <x:c r="G61" t="n">
        <x:v>3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416</x:v>
      </x:c>
      <x:c r="E62" t="n">
        <x:v>407</x:v>
      </x:c>
      <x:c r="F62" t="n">
        <x:v>9</x:v>
      </x:c>
      <x:c r="G62" t="n">
        <x:v>4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373</x:v>
      </x:c>
      <x:c r="E63" t="n">
        <x:v>367</x:v>
      </x:c>
      <x:c r="F63" t="n">
        <x:v>6</x:v>
      </x:c>
      <x:c r="G63" t="n">
        <x:v>4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305</x:v>
      </x:c>
      <x:c r="E64" t="n">
        <x:v>292</x:v>
      </x:c>
      <x:c r="F64" t="n">
        <x:v>13</x:v>
      </x:c>
      <x:c r="G64" t="n">
        <x:v>3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325</x:v>
      </x:c>
      <x:c r="E65" t="n">
        <x:v>317</x:v>
      </x:c>
      <x:c r="F65" t="n">
        <x:v>8</x:v>
      </x:c>
      <x:c r="G65" t="n">
        <x:v>3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407</x:v>
      </x:c>
      <x:c r="E66" t="n">
        <x:v>398</x:v>
      </x:c>
      <x:c r="F66" t="n">
        <x:v>9</x:v>
      </x:c>
      <x:c r="G66" t="n">
        <x:v>4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361</x:v>
      </x:c>
      <x:c r="E67" t="n">
        <x:v>352</x:v>
      </x:c>
      <x:c r="F67" t="n">
        <x:v>9</x:v>
      </x:c>
      <x:c r="G67" t="n">
        <x:v>4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290</x:v>
      </x:c>
      <x:c r="E68" t="n">
        <x:v>278</x:v>
      </x:c>
      <x:c r="F68" t="n">
        <x:v>12</x:v>
      </x:c>
      <x:c r="G68" t="n">
        <x:v>3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302</x:v>
      </x:c>
      <x:c r="E69" t="n">
        <x:v>295</x:v>
      </x:c>
      <x:c r="F69" t="n">
        <x:v>7</x:v>
      </x:c>
      <x:c r="G69" t="n">
        <x:v>3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408</x:v>
      </x:c>
      <x:c r="E70" t="n">
        <x:v>400</x:v>
      </x:c>
      <x:c r="F70" t="n">
        <x:v>8</x:v>
      </x:c>
      <x:c r="G70" t="n">
        <x:v>4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362</x:v>
      </x:c>
      <x:c r="E71" t="n">
        <x:v>353</x:v>
      </x:c>
      <x:c r="F71" t="n">
        <x:v>9</x:v>
      </x:c>
      <x:c r="G71" t="n">
        <x:v>4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287</x:v>
      </x:c>
      <x:c r="E72" t="n">
        <x:v>274</x:v>
      </x:c>
      <x:c r="F72" t="n">
        <x:v>13</x:v>
      </x:c>
      <x:c r="G72" t="n">
        <x:v>3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295</x:v>
      </x:c>
      <x:c r="E73" t="n">
        <x:v>291</x:v>
      </x:c>
      <x:c r="F73" t="n">
        <x:v>4</x:v>
      </x:c>
      <x:c r="G73" t="n">
        <x:v>3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410</x:v>
      </x:c>
      <x:c r="E74" t="n">
        <x:v>403</x:v>
      </x:c>
      <x:c r="F74" t="n">
        <x:v>7</x:v>
      </x:c>
      <x:c r="G74" t="n">
        <x:v>4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349</x:v>
      </x:c>
      <x:c r="E75" t="n">
        <x:v>341</x:v>
      </x:c>
      <x:c r="F75" t="n">
        <x:v>8</x:v>
      </x:c>
      <x:c r="G75" t="n">
        <x:v>3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269</x:v>
      </x:c>
      <x:c r="E76" t="n">
        <x:v>258</x:v>
      </x:c>
      <x:c r="F76" t="n">
        <x:v>11</x:v>
      </x:c>
      <x:c r="G76" t="n">
        <x:v>3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333</x:v>
      </x:c>
      <x:c r="E77" t="n">
        <x:v>327</x:v>
      </x:c>
      <x:c r="F77" t="n">
        <x:v>6</x:v>
      </x:c>
      <x:c r="G77" t="n">
        <x:v>3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436</x:v>
      </x:c>
      <x:c r="E78" t="n">
        <x:v>427</x:v>
      </x:c>
      <x:c r="F78" t="n">
        <x:v>9</x:v>
      </x:c>
      <x:c r="G78" t="n">
        <x:v>4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360</x:v>
      </x:c>
      <x:c r="E79" t="n">
        <x:v>352</x:v>
      </x:c>
      <x:c r="F79" t="n">
        <x:v>8</x:v>
      </x:c>
      <x:c r="G79" t="n">
        <x:v>4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305</x:v>
      </x:c>
      <x:c r="E80" t="n">
        <x:v>294</x:v>
      </x:c>
      <x:c r="F80" t="n">
        <x:v>11</x:v>
      </x:c>
      <x:c r="G80" t="n">
        <x:v>3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312</x:v>
      </x:c>
      <x:c r="E81" t="n">
        <x:v>305</x:v>
      </x:c>
      <x:c r="F81" t="n">
        <x:v>7</x:v>
      </x:c>
      <x:c r="G81" t="n">
        <x:v>3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456</x:v>
      </x:c>
      <x:c r="E82" t="n">
        <x:v>446</x:v>
      </x:c>
      <x:c r="F82" t="n">
        <x:v>10</x:v>
      </x:c>
      <x:c r="G82" t="n">
        <x:v>5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354</x:v>
      </x:c>
      <x:c r="E83" t="n">
        <x:v>346</x:v>
      </x:c>
      <x:c r="F83" t="n">
        <x:v>8</x:v>
      </x:c>
      <x:c r="G83" t="n">
        <x:v>4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282</x:v>
      </x:c>
      <x:c r="E84" t="n">
        <x:v>270</x:v>
      </x:c>
      <x:c r="F84" t="n">
        <x:v>12</x:v>
      </x:c>
      <x:c r="G84" t="n">
        <x:v>3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300</x:v>
      </x:c>
      <x:c r="E85" t="n">
        <x:v>296</x:v>
      </x:c>
      <x:c r="F85" t="n">
        <x:v>4</x:v>
      </x:c>
      <x:c r="G85" t="n">
        <x:v>3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416</x:v>
      </x:c>
      <x:c r="E86" t="n">
        <x:v>408</x:v>
      </x:c>
      <x:c r="F86" t="n">
        <x:v>8</x:v>
      </x:c>
      <x:c r="G86" t="n">
        <x:v>4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353</x:v>
      </x:c>
      <x:c r="E87" t="n">
        <x:v>345</x:v>
      </x:c>
      <x:c r="F87" t="n">
        <x:v>8</x:v>
      </x:c>
      <x:c r="G87" t="n">
        <x:v>4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285</x:v>
      </x:c>
      <x:c r="E88" t="n">
        <x:v>273</x:v>
      </x:c>
      <x:c r="F88" t="n">
        <x:v>12</x:v>
      </x:c>
      <x:c r="G88" t="n">
        <x:v>3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317</x:v>
      </x:c>
      <x:c r="E89" t="n">
        <x:v>312</x:v>
      </x:c>
      <x:c r="F89" t="n">
        <x:v>5</x:v>
      </x:c>
      <x:c r="G89" t="n">
        <x:v>3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444</x:v>
      </x:c>
      <x:c r="E90" t="n">
        <x:v>433</x:v>
      </x:c>
      <x:c r="F90" t="n">
        <x:v>11</x:v>
      </x:c>
      <x:c r="G90" t="n">
        <x:v>4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353</x:v>
      </x:c>
      <x:c r="E91" t="n">
        <x:v>343</x:v>
      </x:c>
      <x:c r="F91" t="n">
        <x:v>10</x:v>
      </x:c>
      <x:c r="G91" t="n">
        <x:v>4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320</x:v>
      </x:c>
      <x:c r="E92" t="n">
        <x:v>307</x:v>
      </x:c>
      <x:c r="F92" t="n">
        <x:v>13</x:v>
      </x:c>
      <x:c r="G92" t="n">
        <x:v>3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321</x:v>
      </x:c>
      <x:c r="E93" t="n">
        <x:v>315</x:v>
      </x:c>
      <x:c r="F93" t="n">
        <x:v>6</x:v>
      </x:c>
      <x:c r="G93" t="n">
        <x:v>3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432</x:v>
      </x:c>
      <x:c r="E94" t="n">
        <x:v>423</x:v>
      </x:c>
      <x:c r="F94" t="n">
        <x:v>9</x:v>
      </x:c>
      <x:c r="G94" t="n">
        <x:v>4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355</x:v>
      </x:c>
      <x:c r="E95" t="n">
        <x:v>350</x:v>
      </x:c>
      <x:c r="F95" t="n">
        <x:v>5</x:v>
      </x:c>
      <x:c r="G95" t="n">
        <x:v>4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284</x:v>
      </x:c>
      <x:c r="E96" t="n">
        <x:v>271</x:v>
      </x:c>
      <x:c r="F96" t="n">
        <x:v>13</x:v>
      </x:c>
      <x:c r="G96" t="n">
        <x:v>3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320</x:v>
      </x:c>
      <x:c r="E97" t="n">
        <x:v>312</x:v>
      </x:c>
      <x:c r="F97" t="n">
        <x:v>8</x:v>
      </x:c>
      <x:c r="G97" t="n">
        <x:v>3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452</x:v>
      </x:c>
      <x:c r="E98" t="n">
        <x:v>441</x:v>
      </x:c>
      <x:c r="F98" t="n">
        <x:v>11</x:v>
      </x:c>
      <x:c r="G98" t="n">
        <x:v>5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377</x:v>
      </x:c>
      <x:c r="E99" t="n">
        <x:v>369</x:v>
      </x:c>
      <x:c r="F99" t="n">
        <x:v>8</x:v>
      </x:c>
      <x:c r="G99" t="n">
        <x:v>4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314</x:v>
      </x:c>
      <x:c r="E100" t="n">
        <x:v>301</x:v>
      </x:c>
      <x:c r="F100" t="n">
        <x:v>13</x:v>
      </x:c>
      <x:c r="G100" t="n">
        <x:v>3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307</x:v>
      </x:c>
      <x:c r="E101" t="n">
        <x:v>301</x:v>
      </x:c>
      <x:c r="F101" t="n">
        <x:v>6</x:v>
      </x:c>
      <x:c r="G101" t="n">
        <x:v>3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428</x:v>
      </x:c>
      <x:c r="E102" t="n">
        <x:v>419</x:v>
      </x:c>
      <x:c r="F102" t="n">
        <x:v>9</x:v>
      </x:c>
      <x:c r="G102" t="n">
        <x:v>4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347</x:v>
      </x:c>
      <x:c r="E103" t="n">
        <x:v>338</x:v>
      </x:c>
      <x:c r="F103" t="n">
        <x:v>9</x:v>
      </x:c>
      <x:c r="G103" t="n">
        <x:v>3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296</x:v>
      </x:c>
      <x:c r="E104" t="n">
        <x:v>284</x:v>
      </x:c>
      <x:c r="F104" t="n">
        <x:v>12</x:v>
      </x:c>
      <x:c r="G104" t="n">
        <x:v>3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356</x:v>
      </x:c>
      <x:c r="E105" t="n">
        <x:v>346</x:v>
      </x:c>
      <x:c r="F105" t="n">
        <x:v>10</x:v>
      </x:c>
      <x:c r="G105" t="n">
        <x:v>4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423</x:v>
      </x:c>
      <x:c r="E106" t="n">
        <x:v>416</x:v>
      </x:c>
      <x:c r="F106" t="n">
        <x:v>7</x:v>
      </x:c>
      <x:c r="G106" t="n">
        <x:v>4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357</x:v>
      </x:c>
      <x:c r="E107" t="n">
        <x:v>350</x:v>
      </x:c>
      <x:c r="F107" t="n">
        <x:v>7</x:v>
      </x:c>
      <x:c r="G107" t="n">
        <x:v>4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285</x:v>
      </x:c>
      <x:c r="E108" t="n">
        <x:v>274</x:v>
      </x:c>
      <x:c r="F108" t="n">
        <x:v>11</x:v>
      </x:c>
      <x:c r="G108" t="n">
        <x:v>3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318</x:v>
      </x:c>
      <x:c r="E109" t="n">
        <x:v>311</x:v>
      </x:c>
      <x:c r="F109" t="n">
        <x:v>7</x:v>
      </x:c>
      <x:c r="G109" t="n">
        <x:v>3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423</x:v>
      </x:c>
      <x:c r="E110" t="n">
        <x:v>414</x:v>
      </x:c>
      <x:c r="F110" t="n">
        <x:v>9</x:v>
      </x:c>
      <x:c r="G110" t="n">
        <x:v>4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380</x:v>
      </x:c>
      <x:c r="E111" t="n">
        <x:v>369</x:v>
      </x:c>
      <x:c r="F111" t="n">
        <x:v>11</x:v>
      </x:c>
      <x:c r="G111" t="n">
        <x:v>4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287</x:v>
      </x:c>
      <x:c r="E112" t="n">
        <x:v>274</x:v>
      </x:c>
      <x:c r="F112" t="n">
        <x:v>13</x:v>
      </x:c>
      <x:c r="G112" t="n">
        <x:v>3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300</x:v>
      </x:c>
      <x:c r="E113" t="n">
        <x:v>294</x:v>
      </x:c>
      <x:c r="F113" t="n">
        <x:v>6</x:v>
      </x:c>
      <x:c r="G113" t="n">
        <x:v>3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434</x:v>
      </x:c>
      <x:c r="E114" t="n">
        <x:v>424</x:v>
      </x:c>
      <x:c r="F114" t="n">
        <x:v>10</x:v>
      </x:c>
      <x:c r="G114" t="n">
        <x:v>4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343</x:v>
      </x:c>
      <x:c r="E115" t="n">
        <x:v>338</x:v>
      </x:c>
      <x:c r="F115" t="n">
        <x:v>5</x:v>
      </x:c>
      <x:c r="G115" t="n">
        <x:v>3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300</x:v>
      </x:c>
      <x:c r="E116" t="n">
        <x:v>288</x:v>
      </x:c>
      <x:c r="F116" t="n">
        <x:v>12</x:v>
      </x:c>
      <x:c r="G116" t="n">
        <x:v>3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297</x:v>
      </x:c>
      <x:c r="E117" t="n">
        <x:v>289</x:v>
      </x:c>
      <x:c r="F117" t="n">
        <x:v>8</x:v>
      </x:c>
      <x:c r="G117" t="n">
        <x:v>3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433</x:v>
      </x:c>
      <x:c r="E118" t="n">
        <x:v>423</x:v>
      </x:c>
      <x:c r="F118" t="n">
        <x:v>10</x:v>
      </x:c>
      <x:c r="G118" t="n">
        <x:v>4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353</x:v>
      </x:c>
      <x:c r="E119" t="n">
        <x:v>345</x:v>
      </x:c>
      <x:c r="F119" t="n">
        <x:v>8</x:v>
      </x:c>
      <x:c r="G119" t="n">
        <x:v>4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293</x:v>
      </x:c>
      <x:c r="E120" t="n">
        <x:v>281</x:v>
      </x:c>
      <x:c r="F120" t="n">
        <x:v>12</x:v>
      </x:c>
      <x:c r="G120" t="n">
        <x:v>3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320</x:v>
      </x:c>
      <x:c r="E121" t="n">
        <x:v>311</x:v>
      </x:c>
      <x:c r="F121" t="n">
        <x:v>9</x:v>
      </x:c>
      <x:c r="G121" t="n">
        <x:v>3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417</x:v>
      </x:c>
      <x:c r="E122" t="n">
        <x:v>410</x:v>
      </x:c>
      <x:c r="F122" t="n">
        <x:v>7</x:v>
      </x:c>
      <x:c r="G122" t="n">
        <x:v>4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356</x:v>
      </x:c>
      <x:c r="E123" t="n">
        <x:v>351</x:v>
      </x:c>
      <x:c r="F123" t="n">
        <x:v>5</x:v>
      </x:c>
      <x:c r="G123" t="n">
        <x:v>4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297</x:v>
      </x:c>
      <x:c r="E124" t="n">
        <x:v>285</x:v>
      </x:c>
      <x:c r="F124" t="n">
        <x:v>12</x:v>
      </x:c>
      <x:c r="G124" t="n">
        <x:v>3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297</x:v>
      </x:c>
      <x:c r="E125" t="n">
        <x:v>291</x:v>
      </x:c>
      <x:c r="F125" t="n">
        <x:v>6</x:v>
      </x:c>
      <x:c r="G125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Maquina</x:t>
        </x:is>
      </x:c>
      <x:c r="D1" s="1" t="inlineStr">
        <x:is>
          <x:t xml:space="preserve">Tipo_Parada</x:t>
        </x:is>
      </x:c>
      <x:c r="E1" s="1" t="inlineStr">
        <x:is>
          <x:t xml:space="preserve">Duracao_Horas</x:t>
        </x:is>
      </x:c>
      <x:c r="F1" s="1" t="inlineStr">
        <x:is>
          <x:t xml:space="preserve">Causa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ENV-01</x:t>
        </x:is>
      </x:c>
      <x:c r="D2" t="inlineStr">
        <x:is>
          <x:t xml:space="preserve">Corretiva</x:t>
        </x:is>
      </x:c>
      <x:c r="E2" t="n">
        <x:v>0.9399999999999999</x:v>
      </x:c>
      <x:c r="F2" t="inlineStr">
        <x:is>
          <x:t xml:space="preserve">Setup</x:t>
        </x:is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PR-02</x:t>
        </x:is>
      </x:c>
      <x:c r="D3" t="inlineStr">
        <x:is>
          <x:t xml:space="preserve">Corretiva</x:t>
        </x:is>
      </x:c>
      <x:c r="E3" t="n">
        <x:v>1.43</x:v>
      </x:c>
      <x:c r="F3" t="inlineStr">
        <x:is>
          <x:t xml:space="preserve">Microparadas</x:t>
        </x:is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MX-04</x:t>
        </x:is>
      </x:c>
      <x:c r="D4" t="inlineStr">
        <x:is>
          <x:t xml:space="preserve">Corretiva</x:t>
        </x:is>
      </x:c>
      <x:c r="E4" t="n">
        <x:v>4.22</x:v>
      </x:c>
      <x:c r="F4" t="inlineStr">
        <x:is>
          <x:t xml:space="preserve">Falta de material</x:t>
        </x:is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PK-03</x:t>
        </x:is>
      </x:c>
      <x:c r="D5" t="inlineStr">
        <x:is>
          <x:t xml:space="preserve">Corretiva</x:t>
        </x:is>
      </x:c>
      <x:c r="E5" t="n">
        <x:v>1.24</x:v>
      </x:c>
      <x:c r="F5" t="inlineStr">
        <x:is>
          <x:t xml:space="preserve">Falta de material</x:t>
        </x:is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ENV-01</x:t>
        </x:is>
      </x:c>
      <x:c r="D6" t="inlineStr">
        <x:is>
          <x:t xml:space="preserve">Corretiva</x:t>
        </x:is>
      </x:c>
      <x:c r="E6" t="n">
        <x:v>1.07</x:v>
      </x:c>
      <x:c r="F6" t="inlineStr">
        <x:is>
          <x:t xml:space="preserve">Setup</x:t>
        </x:is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PR-02</x:t>
        </x:is>
      </x:c>
      <x:c r="D7" t="inlineStr">
        <x:is>
          <x:t xml:space="preserve">Corretiva</x:t>
        </x:is>
      </x:c>
      <x:c r="E7" t="n">
        <x:v>2.44</x:v>
      </x:c>
      <x:c r="F7" t="inlineStr">
        <x:is>
          <x:t xml:space="preserve">Setup</x:t>
        </x:is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MX-04</x:t>
        </x:is>
      </x:c>
      <x:c r="D8" t="inlineStr">
        <x:is>
          <x:t xml:space="preserve">Corretiva</x:t>
        </x:is>
      </x:c>
      <x:c r="E8" t="n">
        <x:v>3.87</x:v>
      </x:c>
      <x:c r="F8" t="inlineStr">
        <x:is>
          <x:t xml:space="preserve">Falta de material</x:t>
        </x:is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PK-03</x:t>
        </x:is>
      </x:c>
      <x:c r="D9" t="inlineStr">
        <x:is>
          <x:t xml:space="preserve">Corretiva</x:t>
        </x:is>
      </x:c>
      <x:c r="E9" t="n">
        <x:v>2.07</x:v>
      </x:c>
      <x:c r="F9" t="inlineStr">
        <x:is>
          <x:t xml:space="preserve">Falta de material</x:t>
        </x:is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ENV-01</x:t>
        </x:is>
      </x:c>
      <x:c r="D10" t="inlineStr">
        <x:is>
          <x:t xml:space="preserve">Corretiva</x:t>
        </x:is>
      </x:c>
      <x:c r="E10" t="n">
        <x:v>1.45</x:v>
      </x:c>
      <x:c r="F10" t="inlineStr">
        <x:is>
          <x:t xml:space="preserve">Falha elétrica</x:t>
        </x:is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PR-02</x:t>
        </x:is>
      </x:c>
      <x:c r="D11" t="inlineStr">
        <x:is>
          <x:t xml:space="preserve">Corretiva</x:t>
        </x:is>
      </x:c>
      <x:c r="E11" t="n">
        <x:v>1.92</x:v>
      </x:c>
      <x:c r="F11" t="inlineStr">
        <x:is>
          <x:t xml:space="preserve">Setup</x:t>
        </x:is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MX-04</x:t>
        </x:is>
      </x:c>
      <x:c r="D12" t="inlineStr">
        <x:is>
          <x:t xml:space="preserve">Corretiva</x:t>
        </x:is>
      </x:c>
      <x:c r="E12" t="n">
        <x:v>4.34</x:v>
      </x:c>
      <x:c r="F12" t="inlineStr">
        <x:is>
          <x:t xml:space="preserve">Falha mecânica</x:t>
        </x:is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PK-03</x:t>
        </x:is>
      </x:c>
      <x:c r="D13" t="inlineStr">
        <x:is>
          <x:t xml:space="preserve">Corretiva</x:t>
        </x:is>
      </x:c>
      <x:c r="E13" t="n">
        <x:v>1.94</x:v>
      </x:c>
      <x:c r="F13" t="inlineStr">
        <x:is>
          <x:t xml:space="preserve">Falta de material</x:t>
        </x:is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ENV-01</x:t>
        </x:is>
      </x:c>
      <x:c r="D14" t="inlineStr">
        <x:is>
          <x:t xml:space="preserve">Corretiva</x:t>
        </x:is>
      </x:c>
      <x:c r="E14" t="n">
        <x:v>2.01</x:v>
      </x:c>
      <x:c r="F14" t="inlineStr">
        <x:is>
          <x:t xml:space="preserve">Falha mecânica</x:t>
        </x:is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PR-02</x:t>
        </x:is>
      </x:c>
      <x:c r="D15" t="inlineStr">
        <x:is>
          <x:t xml:space="preserve">Corretiva</x:t>
        </x:is>
      </x:c>
      <x:c r="E15" t="n">
        <x:v>1.79</x:v>
      </x:c>
      <x:c r="F15" t="inlineStr">
        <x:is>
          <x:t xml:space="preserve">Falha mecânica</x:t>
        </x:is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MX-04</x:t>
        </x:is>
      </x:c>
      <x:c r="D16" t="inlineStr">
        <x:is>
          <x:t xml:space="preserve">Corretiva</x:t>
        </x:is>
      </x:c>
      <x:c r="E16" t="n">
        <x:v>3.6</x:v>
      </x:c>
      <x:c r="F16" t="inlineStr">
        <x:is>
          <x:t xml:space="preserve">Falha mecânica</x:t>
        </x:is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PK-03</x:t>
        </x:is>
      </x:c>
      <x:c r="D17" t="inlineStr">
        <x:is>
          <x:t xml:space="preserve">Corretiva</x:t>
        </x:is>
      </x:c>
      <x:c r="E17" t="n">
        <x:v>0.78</x:v>
      </x:c>
      <x:c r="F17" t="inlineStr">
        <x:is>
          <x:t xml:space="preserve">Falha mecânica</x:t>
        </x:is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ENV-01</x:t>
        </x:is>
      </x:c>
      <x:c r="D18" t="inlineStr">
        <x:is>
          <x:t xml:space="preserve">Corretiva</x:t>
        </x:is>
      </x:c>
      <x:c r="E18" t="n">
        <x:v>0.73</x:v>
      </x:c>
      <x:c r="F18" t="inlineStr">
        <x:is>
          <x:t xml:space="preserve">Microparadas</x:t>
        </x:is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PR-02</x:t>
        </x:is>
      </x:c>
      <x:c r="D19" t="inlineStr">
        <x:is>
          <x:t xml:space="preserve">Corretiva</x:t>
        </x:is>
      </x:c>
      <x:c r="E19" t="n">
        <x:v>1.18</x:v>
      </x:c>
      <x:c r="F19" t="inlineStr">
        <x:is>
          <x:t xml:space="preserve">Falha elétrica</x:t>
        </x:is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MX-04</x:t>
        </x:is>
      </x:c>
      <x:c r="D20" t="inlineStr">
        <x:is>
          <x:t xml:space="preserve">Corretiva</x:t>
        </x:is>
      </x:c>
      <x:c r="E20" t="n">
        <x:v>4.38</x:v>
      </x:c>
      <x:c r="F20" t="inlineStr">
        <x:is>
          <x:t xml:space="preserve">Falha elétrica</x:t>
        </x:is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PK-03</x:t>
        </x:is>
      </x:c>
      <x:c r="D21" t="inlineStr">
        <x:is>
          <x:t xml:space="preserve">Corretiva</x:t>
        </x:is>
      </x:c>
      <x:c r="E21" t="n">
        <x:v>2.22</x:v>
      </x:c>
      <x:c r="F21" t="inlineStr">
        <x:is>
          <x:t xml:space="preserve">Falta de material</x:t>
        </x:is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ENV-01</x:t>
        </x:is>
      </x:c>
      <x:c r="D22" t="inlineStr">
        <x:is>
          <x:t xml:space="preserve">Corretiva</x:t>
        </x:is>
      </x:c>
      <x:c r="E22" t="n">
        <x:v>1.57</x:v>
      </x:c>
      <x:c r="F22" t="inlineStr">
        <x:is>
          <x:t xml:space="preserve">Setup</x:t>
        </x:is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PR-02</x:t>
        </x:is>
      </x:c>
      <x:c r="D23" t="inlineStr">
        <x:is>
          <x:t xml:space="preserve">Corretiva</x:t>
        </x:is>
      </x:c>
      <x:c r="E23" t="n">
        <x:v>1.7</x:v>
      </x:c>
      <x:c r="F23" t="inlineStr">
        <x:is>
          <x:t xml:space="preserve">Falha elétrica</x:t>
        </x:is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MX-04</x:t>
        </x:is>
      </x:c>
      <x:c r="D24" t="inlineStr">
        <x:is>
          <x:t xml:space="preserve">Corretiva</x:t>
        </x:is>
      </x:c>
      <x:c r="E24" t="n">
        <x:v>3.42</x:v>
      </x:c>
      <x:c r="F24" t="inlineStr">
        <x:is>
          <x:t xml:space="preserve">Falha mecânica</x:t>
        </x:is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PK-03</x:t>
        </x:is>
      </x:c>
      <x:c r="D25" t="inlineStr">
        <x:is>
          <x:t xml:space="preserve">Corretiva</x:t>
        </x:is>
      </x:c>
      <x:c r="E25" t="n">
        <x:v>1.8</x:v>
      </x:c>
      <x:c r="F25" t="inlineStr">
        <x:is>
          <x:t xml:space="preserve">Falha elétrica</x:t>
        </x:is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ENV-01</x:t>
        </x:is>
      </x:c>
      <x:c r="D26" t="inlineStr">
        <x:is>
          <x:t xml:space="preserve">Corretiva</x:t>
        </x:is>
      </x:c>
      <x:c r="E26" t="n">
        <x:v>0.62</x:v>
      </x:c>
      <x:c r="F26" t="inlineStr">
        <x:is>
          <x:t xml:space="preserve">Microparadas</x:t>
        </x:is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PR-02</x:t>
        </x:is>
      </x:c>
      <x:c r="D27" t="inlineStr">
        <x:is>
          <x:t xml:space="preserve">Corretiva</x:t>
        </x:is>
      </x:c>
      <x:c r="E27" t="n">
        <x:v>1.67</x:v>
      </x:c>
      <x:c r="F27" t="inlineStr">
        <x:is>
          <x:t xml:space="preserve">Microparadas</x:t>
        </x:is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MX-04</x:t>
        </x:is>
      </x:c>
      <x:c r="D28" t="inlineStr">
        <x:is>
          <x:t xml:space="preserve">Corretiva</x:t>
        </x:is>
      </x:c>
      <x:c r="E28" t="n">
        <x:v>3.35</x:v>
      </x:c>
      <x:c r="F28" t="inlineStr">
        <x:is>
          <x:t xml:space="preserve">Falha mecânica</x:t>
        </x:is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PK-03</x:t>
        </x:is>
      </x:c>
      <x:c r="D29" t="inlineStr">
        <x:is>
          <x:t xml:space="preserve">Corretiva</x:t>
        </x:is>
      </x:c>
      <x:c r="E29" t="n">
        <x:v>1.7</x:v>
      </x:c>
      <x:c r="F29" t="inlineStr">
        <x:is>
          <x:t xml:space="preserve">Falta de material</x:t>
        </x:is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ENV-01</x:t>
        </x:is>
      </x:c>
      <x:c r="D30" t="inlineStr">
        <x:is>
          <x:t xml:space="preserve">Corretiva</x:t>
        </x:is>
      </x:c>
      <x:c r="E30" t="n">
        <x:v>0.92</x:v>
      </x:c>
      <x:c r="F30" t="inlineStr">
        <x:is>
          <x:t xml:space="preserve">Falta de material</x:t>
        </x:is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PR-02</x:t>
        </x:is>
      </x:c>
      <x:c r="D31" t="inlineStr">
        <x:is>
          <x:t xml:space="preserve">Corretiva</x:t>
        </x:is>
      </x:c>
      <x:c r="E31" t="n">
        <x:v>0.97</x:v>
      </x:c>
      <x:c r="F31" t="inlineStr">
        <x:is>
          <x:t xml:space="preserve">Setup</x:t>
        </x:is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MX-04</x:t>
        </x:is>
      </x:c>
      <x:c r="D32" t="inlineStr">
        <x:is>
          <x:t xml:space="preserve">Corretiva</x:t>
        </x:is>
      </x:c>
      <x:c r="E32" t="n">
        <x:v>4.3</x:v>
      </x:c>
      <x:c r="F32" t="inlineStr">
        <x:is>
          <x:t xml:space="preserve">Setup</x:t>
        </x:is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PK-03</x:t>
        </x:is>
      </x:c>
      <x:c r="D33" t="inlineStr">
        <x:is>
          <x:t xml:space="preserve">Corretiva</x:t>
        </x:is>
      </x:c>
      <x:c r="E33" t="n">
        <x:v>2.52</x:v>
      </x:c>
      <x:c r="F33" t="inlineStr">
        <x:is>
          <x:t xml:space="preserve">Falta de material</x:t>
        </x:is>
      </x:c>
    </x:row>
    <x:row r="34">
      <x:c r="A34" s="2" t="n">
        <x:v>46243</x:v>
      </x:c>
      <x:c r="B34" t="inlineStr">
        <x:is>
          <x:t xml:space="preserve">Linha 2</x:t>
        </x:is>
      </x:c>
      <x:c r="C34" t="inlineStr">
        <x:is>
          <x:t xml:space="preserve">PR-02</x:t>
        </x:is>
      </x:c>
      <x:c r="D34" t="inlineStr">
        <x:is>
          <x:t xml:space="preserve">Corretiva</x:t>
        </x:is>
      </x:c>
      <x:c r="E34" t="n">
        <x:v>1.83</x:v>
      </x:c>
      <x:c r="F34" t="inlineStr">
        <x:is>
          <x:t xml:space="preserve">Falha elétrica</x:t>
        </x:is>
      </x:c>
    </x:row>
    <x:row r="35">
      <x:c r="A35" s="2" t="n">
        <x:v>46243</x:v>
      </x:c>
      <x:c r="B35" t="inlineStr">
        <x:is>
          <x:t xml:space="preserve">Linha 3</x:t>
        </x:is>
      </x:c>
      <x:c r="C35" t="inlineStr">
        <x:is>
          <x:t xml:space="preserve">MX-04</x:t>
        </x:is>
      </x:c>
      <x:c r="D35" t="inlineStr">
        <x:is>
          <x:t xml:space="preserve">Corretiva</x:t>
        </x:is>
      </x:c>
      <x:c r="E35" t="n">
        <x:v>2.81</x:v>
      </x:c>
      <x:c r="F35" t="inlineStr">
        <x:is>
          <x:t xml:space="preserve">Falha mecânica</x:t>
        </x:is>
      </x:c>
    </x:row>
    <x:row r="36">
      <x:c r="A36" s="2" t="n">
        <x:v>46243</x:v>
      </x:c>
      <x:c r="B36" t="inlineStr">
        <x:is>
          <x:t xml:space="preserve">Linha 4</x:t>
        </x:is>
      </x:c>
      <x:c r="C36" t="inlineStr">
        <x:is>
          <x:t xml:space="preserve">PK-03</x:t>
        </x:is>
      </x:c>
      <x:c r="D36" t="inlineStr">
        <x:is>
          <x:t xml:space="preserve">Corretiva</x:t>
        </x:is>
      </x:c>
      <x:c r="E36" t="n">
        <x:v>1.4</x:v>
      </x:c>
      <x:c r="F36" t="inlineStr">
        <x:is>
          <x:t xml:space="preserve">Falha mecânica</x:t>
        </x:is>
      </x:c>
    </x:row>
    <x:row r="37">
      <x:c r="A37" s="2" t="n">
        <x:v>46244</x:v>
      </x:c>
      <x:c r="B37" t="inlineStr">
        <x:is>
          <x:t xml:space="preserve">Linha 2</x:t>
        </x:is>
      </x:c>
      <x:c r="C37" t="inlineStr">
        <x:is>
          <x:t xml:space="preserve">PR-02</x:t>
        </x:is>
      </x:c>
      <x:c r="D37" t="inlineStr">
        <x:is>
          <x:t xml:space="preserve">Corretiva</x:t>
        </x:is>
      </x:c>
      <x:c r="E37" t="n">
        <x:v>2.25</x:v>
      </x:c>
      <x:c r="F37" t="inlineStr">
        <x:is>
          <x:t xml:space="preserve">Falha mecânica</x:t>
        </x:is>
      </x:c>
    </x:row>
    <x:row r="38">
      <x:c r="A38" s="2" t="n">
        <x:v>46244</x:v>
      </x:c>
      <x:c r="B38" t="inlineStr">
        <x:is>
          <x:t xml:space="preserve">Linha 3</x:t>
        </x:is>
      </x:c>
      <x:c r="C38" t="inlineStr">
        <x:is>
          <x:t xml:space="preserve">MX-04</x:t>
        </x:is>
      </x:c>
      <x:c r="D38" t="inlineStr">
        <x:is>
          <x:t xml:space="preserve">Corretiva</x:t>
        </x:is>
      </x:c>
      <x:c r="E38" t="n">
        <x:v>2.48</x:v>
      </x:c>
      <x:c r="F38" t="inlineStr">
        <x:is>
          <x:t xml:space="preserve">Falta de material</x:t>
        </x:is>
      </x:c>
    </x:row>
    <x:row r="39">
      <x:c r="A39" s="2" t="n">
        <x:v>46244</x:v>
      </x:c>
      <x:c r="B39" t="inlineStr">
        <x:is>
          <x:t xml:space="preserve">Linha 4</x:t>
        </x:is>
      </x:c>
      <x:c r="C39" t="inlineStr">
        <x:is>
          <x:t xml:space="preserve">PK-03</x:t>
        </x:is>
      </x:c>
      <x:c r="D39" t="inlineStr">
        <x:is>
          <x:t xml:space="preserve">Corretiva</x:t>
        </x:is>
      </x:c>
      <x:c r="E39" t="n">
        <x:v>2.03</x:v>
      </x:c>
      <x:c r="F39" t="inlineStr">
        <x:is>
          <x:t xml:space="preserve">Setup</x:t>
        </x:is>
      </x:c>
    </x:row>
    <x:row r="40">
      <x:c r="A40" s="2" t="n">
        <x:v>46245</x:v>
      </x:c>
      <x:c r="B40" t="inlineStr">
        <x:is>
          <x:t xml:space="preserve">Linha 1</x:t>
        </x:is>
      </x:c>
      <x:c r="C40" t="inlineStr">
        <x:is>
          <x:t xml:space="preserve">ENV-01</x:t>
        </x:is>
      </x:c>
      <x:c r="D40" t="inlineStr">
        <x:is>
          <x:t xml:space="preserve">Corretiva</x:t>
        </x:is>
      </x:c>
      <x:c r="E40" t="n">
        <x:v>1.07</x:v>
      </x:c>
      <x:c r="F40" t="inlineStr">
        <x:is>
          <x:t xml:space="preserve">Falta de material</x:t>
        </x:is>
      </x:c>
    </x:row>
    <x:row r="41">
      <x:c r="A41" s="2" t="n">
        <x:v>46245</x:v>
      </x:c>
      <x:c r="B41" t="inlineStr">
        <x:is>
          <x:t xml:space="preserve">Linha 2</x:t>
        </x:is>
      </x:c>
      <x:c r="C41" t="inlineStr">
        <x:is>
          <x:t xml:space="preserve">PR-02</x:t>
        </x:is>
      </x:c>
      <x:c r="D41" t="inlineStr">
        <x:is>
          <x:t xml:space="preserve">Corretiva</x:t>
        </x:is>
      </x:c>
      <x:c r="E41" t="n">
        <x:v>1.39</x:v>
      </x:c>
      <x:c r="F41" t="inlineStr">
        <x:is>
          <x:t xml:space="preserve">Microparadas</x:t>
        </x:is>
      </x:c>
    </x:row>
    <x:row r="42">
      <x:c r="A42" s="2" t="n">
        <x:v>46245</x:v>
      </x:c>
      <x:c r="B42" t="inlineStr">
        <x:is>
          <x:t xml:space="preserve">Linha 3</x:t>
        </x:is>
      </x:c>
      <x:c r="C42" t="inlineStr">
        <x:is>
          <x:t xml:space="preserve">MX-04</x:t>
        </x:is>
      </x:c>
      <x:c r="D42" t="inlineStr">
        <x:is>
          <x:t xml:space="preserve">Corretiva</x:t>
        </x:is>
      </x:c>
      <x:c r="E42" t="n">
        <x:v>4.83</x:v>
      </x:c>
      <x:c r="F42" t="inlineStr">
        <x:is>
          <x:t xml:space="preserve">Falha elétrica</x:t>
        </x:is>
      </x:c>
    </x:row>
    <x:row r="43">
      <x:c r="A43" s="2" t="n">
        <x:v>46245</x:v>
      </x:c>
      <x:c r="B43" t="inlineStr">
        <x:is>
          <x:t xml:space="preserve">Linha 4</x:t>
        </x:is>
      </x:c>
      <x:c r="C43" t="inlineStr">
        <x:is>
          <x:t xml:space="preserve">PK-03</x:t>
        </x:is>
      </x:c>
      <x:c r="D43" t="inlineStr">
        <x:is>
          <x:t xml:space="preserve">Corretiva</x:t>
        </x:is>
      </x:c>
      <x:c r="E43" t="n">
        <x:v>1.96</x:v>
      </x:c>
      <x:c r="F43" t="inlineStr">
        <x:is>
          <x:t xml:space="preserve">Microparadas</x:t>
        </x:is>
      </x:c>
    </x:row>
    <x:row r="44">
      <x:c r="A44" s="2" t="n">
        <x:v>46246</x:v>
      </x:c>
      <x:c r="B44" t="inlineStr">
        <x:is>
          <x:t xml:space="preserve">Linha 1</x:t>
        </x:is>
      </x:c>
      <x:c r="C44" t="inlineStr">
        <x:is>
          <x:t xml:space="preserve">ENV-01</x:t>
        </x:is>
      </x:c>
      <x:c r="D44" t="inlineStr">
        <x:is>
          <x:t xml:space="preserve">Corretiva</x:t>
        </x:is>
      </x:c>
      <x:c r="E44" t="n">
        <x:v>1.3</x:v>
      </x:c>
      <x:c r="F44" t="inlineStr">
        <x:is>
          <x:t xml:space="preserve">Falha mecânica</x:t>
        </x:is>
      </x:c>
    </x:row>
    <x:row r="45">
      <x:c r="A45" s="2" t="n">
        <x:v>46246</x:v>
      </x:c>
      <x:c r="B45" t="inlineStr">
        <x:is>
          <x:t xml:space="preserve">Linha 2</x:t>
        </x:is>
      </x:c>
      <x:c r="C45" t="inlineStr">
        <x:is>
          <x:t xml:space="preserve">PR-02</x:t>
        </x:is>
      </x:c>
      <x:c r="D45" t="inlineStr">
        <x:is>
          <x:t xml:space="preserve">Corretiva</x:t>
        </x:is>
      </x:c>
      <x:c r="E45" t="n">
        <x:v>2.38</x:v>
      </x:c>
      <x:c r="F45" t="inlineStr">
        <x:is>
          <x:t xml:space="preserve">Falta de material</x:t>
        </x:is>
      </x:c>
    </x:row>
    <x:row r="46">
      <x:c r="A46" s="2" t="n">
        <x:v>46246</x:v>
      </x:c>
      <x:c r="B46" t="inlineStr">
        <x:is>
          <x:t xml:space="preserve">Linha 3</x:t>
        </x:is>
      </x:c>
      <x:c r="C46" t="inlineStr">
        <x:is>
          <x:t xml:space="preserve">MX-04</x:t>
        </x:is>
      </x:c>
      <x:c r="D46" t="inlineStr">
        <x:is>
          <x:t xml:space="preserve">Corretiva</x:t>
        </x:is>
      </x:c>
      <x:c r="E46" t="n">
        <x:v>3.68</x:v>
      </x:c>
      <x:c r="F46" t="inlineStr">
        <x:is>
          <x:t xml:space="preserve">Setup</x:t>
        </x:is>
      </x:c>
    </x:row>
    <x:row r="47">
      <x:c r="A47" s="2" t="n">
        <x:v>46246</x:v>
      </x:c>
      <x:c r="B47" t="inlineStr">
        <x:is>
          <x:t xml:space="preserve">Linha 4</x:t>
        </x:is>
      </x:c>
      <x:c r="C47" t="inlineStr">
        <x:is>
          <x:t xml:space="preserve">PK-03</x:t>
        </x:is>
      </x:c>
      <x:c r="D47" t="inlineStr">
        <x:is>
          <x:t xml:space="preserve">Corretiva</x:t>
        </x:is>
      </x:c>
      <x:c r="E47" t="n">
        <x:v>2.96</x:v>
      </x:c>
      <x:c r="F47" t="inlineStr">
        <x:is>
          <x:t xml:space="preserve">Falha elétrica</x:t>
        </x:is>
      </x:c>
    </x:row>
    <x:row r="48">
      <x:c r="A48" s="2" t="n">
        <x:v>46247</x:v>
      </x:c>
      <x:c r="B48" t="inlineStr">
        <x:is>
          <x:t xml:space="preserve">Linha 1</x:t>
        </x:is>
      </x:c>
      <x:c r="C48" t="inlineStr">
        <x:is>
          <x:t xml:space="preserve">ENV-01</x:t>
        </x:is>
      </x:c>
      <x:c r="D48" t="inlineStr">
        <x:is>
          <x:t xml:space="preserve">Corretiva</x:t>
        </x:is>
      </x:c>
      <x:c r="E48" t="n">
        <x:v>1.62</x:v>
      </x:c>
      <x:c r="F48" t="inlineStr">
        <x:is>
          <x:t xml:space="preserve">Falta de material</x:t>
        </x:is>
      </x:c>
    </x:row>
    <x:row r="49">
      <x:c r="A49" s="2" t="n">
        <x:v>46247</x:v>
      </x:c>
      <x:c r="B49" t="inlineStr">
        <x:is>
          <x:t xml:space="preserve">Linha 2</x:t>
        </x:is>
      </x:c>
      <x:c r="C49" t="inlineStr">
        <x:is>
          <x:t xml:space="preserve">PR-02</x:t>
        </x:is>
      </x:c>
      <x:c r="D49" t="inlineStr">
        <x:is>
          <x:t xml:space="preserve">Corretiva</x:t>
        </x:is>
      </x:c>
      <x:c r="E49" t="n">
        <x:v>1.29</x:v>
      </x:c>
      <x:c r="F49" t="inlineStr">
        <x:is>
          <x:t xml:space="preserve">Falha mecânica</x:t>
        </x:is>
      </x:c>
    </x:row>
    <x:row r="50">
      <x:c r="A50" s="2" t="n">
        <x:v>46247</x:v>
      </x:c>
      <x:c r="B50" t="inlineStr">
        <x:is>
          <x:t xml:space="preserve">Linha 3</x:t>
        </x:is>
      </x:c>
      <x:c r="C50" t="inlineStr">
        <x:is>
          <x:t xml:space="preserve">MX-04</x:t>
        </x:is>
      </x:c>
      <x:c r="D50" t="inlineStr">
        <x:is>
          <x:t xml:space="preserve">Corretiva</x:t>
        </x:is>
      </x:c>
      <x:c r="E50" t="n">
        <x:v>3.44</x:v>
      </x:c>
      <x:c r="F50" t="inlineStr">
        <x:is>
          <x:t xml:space="preserve">Microparadas</x:t>
        </x:is>
      </x:c>
    </x:row>
    <x:row r="51">
      <x:c r="A51" s="2" t="n">
        <x:v>46247</x:v>
      </x:c>
      <x:c r="B51" t="inlineStr">
        <x:is>
          <x:t xml:space="preserve">Linha 4</x:t>
        </x:is>
      </x:c>
      <x:c r="C51" t="inlineStr">
        <x:is>
          <x:t xml:space="preserve">PK-03</x:t>
        </x:is>
      </x:c>
      <x:c r="D51" t="inlineStr">
        <x:is>
          <x:t xml:space="preserve">Corretiva</x:t>
        </x:is>
      </x:c>
      <x:c r="E51" t="n">
        <x:v>1.88</x:v>
      </x:c>
      <x:c r="F51" t="inlineStr">
        <x:is>
          <x:t xml:space="preserve">Falha mecânica</x:t>
        </x:is>
      </x:c>
    </x:row>
    <x:row r="52">
      <x:c r="A52" s="2" t="n">
        <x:v>46248</x:v>
      </x:c>
      <x:c r="B52" t="inlineStr">
        <x:is>
          <x:t xml:space="preserve">Linha 1</x:t>
        </x:is>
      </x:c>
      <x:c r="C52" t="inlineStr">
        <x:is>
          <x:t xml:space="preserve">ENV-01</x:t>
        </x:is>
      </x:c>
      <x:c r="D52" t="inlineStr">
        <x:is>
          <x:t xml:space="preserve">Corretiva</x:t>
        </x:is>
      </x:c>
      <x:c r="E52" t="n">
        <x:v>0.5600000000000001</x:v>
      </x:c>
      <x:c r="F52" t="inlineStr">
        <x:is>
          <x:t xml:space="preserve">Setup</x:t>
        </x:is>
      </x:c>
    </x:row>
    <x:row r="53">
      <x:c r="A53" s="2" t="n">
        <x:v>46248</x:v>
      </x:c>
      <x:c r="B53" t="inlineStr">
        <x:is>
          <x:t xml:space="preserve">Linha 2</x:t>
        </x:is>
      </x:c>
      <x:c r="C53" t="inlineStr">
        <x:is>
          <x:t xml:space="preserve">PR-02</x:t>
        </x:is>
      </x:c>
      <x:c r="D53" t="inlineStr">
        <x:is>
          <x:t xml:space="preserve">Corretiva</x:t>
        </x:is>
      </x:c>
      <x:c r="E53" t="n">
        <x:v>1.44</x:v>
      </x:c>
      <x:c r="F53" t="inlineStr">
        <x:is>
          <x:t xml:space="preserve">Microparadas</x:t>
        </x:is>
      </x:c>
    </x:row>
    <x:row r="54">
      <x:c r="A54" s="2" t="n">
        <x:v>46248</x:v>
      </x:c>
      <x:c r="B54" t="inlineStr">
        <x:is>
          <x:t xml:space="preserve">Linha 3</x:t>
        </x:is>
      </x:c>
      <x:c r="C54" t="inlineStr">
        <x:is>
          <x:t xml:space="preserve">MX-04</x:t>
        </x:is>
      </x:c>
      <x:c r="D54" t="inlineStr">
        <x:is>
          <x:t xml:space="preserve">Corretiva</x:t>
        </x:is>
      </x:c>
      <x:c r="E54" t="n">
        <x:v>3.29</x:v>
      </x:c>
      <x:c r="F54" t="inlineStr">
        <x:is>
          <x:t xml:space="preserve">Microparadas</x:t>
        </x:is>
      </x:c>
    </x:row>
    <x:row r="55">
      <x:c r="A55" s="2" t="n">
        <x:v>46248</x:v>
      </x:c>
      <x:c r="B55" t="inlineStr">
        <x:is>
          <x:t xml:space="preserve">Linha 4</x:t>
        </x:is>
      </x:c>
      <x:c r="C55" t="inlineStr">
        <x:is>
          <x:t xml:space="preserve">PK-03</x:t>
        </x:is>
      </x:c>
      <x:c r="D55" t="inlineStr">
        <x:is>
          <x:t xml:space="preserve">Corretiva</x:t>
        </x:is>
      </x:c>
      <x:c r="E55" t="n">
        <x:v>1.98</x:v>
      </x:c>
      <x:c r="F55" t="inlineStr">
        <x:is>
          <x:t xml:space="preserve">Setup</x:t>
        </x:is>
      </x:c>
    </x:row>
    <x:row r="56">
      <x:c r="A56" s="2" t="n">
        <x:v>46249</x:v>
      </x:c>
      <x:c r="B56" t="inlineStr">
        <x:is>
          <x:t xml:space="preserve">Linha 1</x:t>
        </x:is>
      </x:c>
      <x:c r="C56" t="inlineStr">
        <x:is>
          <x:t xml:space="preserve">ENV-01</x:t>
        </x:is>
      </x:c>
      <x:c r="D56" t="inlineStr">
        <x:is>
          <x:t xml:space="preserve">Corretiva</x:t>
        </x:is>
      </x:c>
      <x:c r="E56" t="n">
        <x:v>1.13</x:v>
      </x:c>
      <x:c r="F56" t="inlineStr">
        <x:is>
          <x:t xml:space="preserve">Microparadas</x:t>
        </x:is>
      </x:c>
    </x:row>
    <x:row r="57">
      <x:c r="A57" s="2" t="n">
        <x:v>46249</x:v>
      </x:c>
      <x:c r="B57" t="inlineStr">
        <x:is>
          <x:t xml:space="preserve">Linha 2</x:t>
        </x:is>
      </x:c>
      <x:c r="C57" t="inlineStr">
        <x:is>
          <x:t xml:space="preserve">PR-02</x:t>
        </x:is>
      </x:c>
      <x:c r="D57" t="inlineStr">
        <x:is>
          <x:t xml:space="preserve">Corretiva</x:t>
        </x:is>
      </x:c>
      <x:c r="E57" t="n">
        <x:v>1.71</x:v>
      </x:c>
      <x:c r="F57" t="inlineStr">
        <x:is>
          <x:t xml:space="preserve">Microparadas</x:t>
        </x:is>
      </x:c>
    </x:row>
    <x:row r="58">
      <x:c r="A58" s="2" t="n">
        <x:v>46249</x:v>
      </x:c>
      <x:c r="B58" t="inlineStr">
        <x:is>
          <x:t xml:space="preserve">Linha 3</x:t>
        </x:is>
      </x:c>
      <x:c r="C58" t="inlineStr">
        <x:is>
          <x:t xml:space="preserve">MX-04</x:t>
        </x:is>
      </x:c>
      <x:c r="D58" t="inlineStr">
        <x:is>
          <x:t xml:space="preserve">Corretiva</x:t>
        </x:is>
      </x:c>
      <x:c r="E58" t="n">
        <x:v>3.93</x:v>
      </x:c>
      <x:c r="F58" t="inlineStr">
        <x:is>
          <x:t xml:space="preserve">Microparadas</x:t>
        </x:is>
      </x:c>
    </x:row>
    <x:row r="59">
      <x:c r="A59" s="2" t="n">
        <x:v>46249</x:v>
      </x:c>
      <x:c r="B59" t="inlineStr">
        <x:is>
          <x:t xml:space="preserve">Linha 4</x:t>
        </x:is>
      </x:c>
      <x:c r="C59" t="inlineStr">
        <x:is>
          <x:t xml:space="preserve">PK-03</x:t>
        </x:is>
      </x:c>
      <x:c r="D59" t="inlineStr">
        <x:is>
          <x:t xml:space="preserve">Corretiva</x:t>
        </x:is>
      </x:c>
      <x:c r="E59" t="n">
        <x:v>1.31</x:v>
      </x:c>
      <x:c r="F59" t="inlineStr">
        <x:is>
          <x:t xml:space="preserve">Microparadas</x:t>
        </x:is>
      </x:c>
    </x:row>
    <x:row r="60">
      <x:c r="A60" s="2" t="n">
        <x:v>46250</x:v>
      </x:c>
      <x:c r="B60" t="inlineStr">
        <x:is>
          <x:t xml:space="preserve">Linha 1</x:t>
        </x:is>
      </x:c>
      <x:c r="C60" t="inlineStr">
        <x:is>
          <x:t xml:space="preserve">ENV-01</x:t>
        </x:is>
      </x:c>
      <x:c r="D60" t="inlineStr">
        <x:is>
          <x:t xml:space="preserve">Corretiva</x:t>
        </x:is>
      </x:c>
      <x:c r="E60" t="n">
        <x:v>1.02</x:v>
      </x:c>
      <x:c r="F60" t="inlineStr">
        <x:is>
          <x:t xml:space="preserve">Microparadas</x:t>
        </x:is>
      </x:c>
    </x:row>
    <x:row r="61">
      <x:c r="A61" s="2" t="n">
        <x:v>46250</x:v>
      </x:c>
      <x:c r="B61" t="inlineStr">
        <x:is>
          <x:t xml:space="preserve">Linha 2</x:t>
        </x:is>
      </x:c>
      <x:c r="C61" t="inlineStr">
        <x:is>
          <x:t xml:space="preserve">PR-02</x:t>
        </x:is>
      </x:c>
      <x:c r="D61" t="inlineStr">
        <x:is>
          <x:t xml:space="preserve">Corretiva</x:t>
        </x:is>
      </x:c>
      <x:c r="E61" t="n">
        <x:v>1.93</x:v>
      </x:c>
      <x:c r="F61" t="inlineStr">
        <x:is>
          <x:t xml:space="preserve">Falha elétrica</x:t>
        </x:is>
      </x:c>
    </x:row>
    <x:row r="62">
      <x:c r="A62" s="2" t="n">
        <x:v>46250</x:v>
      </x:c>
      <x:c r="B62" t="inlineStr">
        <x:is>
          <x:t xml:space="preserve">Linha 3</x:t>
        </x:is>
      </x:c>
      <x:c r="C62" t="inlineStr">
        <x:is>
          <x:t xml:space="preserve">MX-04</x:t>
        </x:is>
      </x:c>
      <x:c r="D62" t="inlineStr">
        <x:is>
          <x:t xml:space="preserve">Corretiva</x:t>
        </x:is>
      </x:c>
      <x:c r="E62" t="n">
        <x:v>3.57</x:v>
      </x:c>
      <x:c r="F62" t="inlineStr">
        <x:is>
          <x:t xml:space="preserve">Microparadas</x:t>
        </x:is>
      </x:c>
    </x:row>
    <x:row r="63">
      <x:c r="A63" s="2" t="n">
        <x:v>46250</x:v>
      </x:c>
      <x:c r="B63" t="inlineStr">
        <x:is>
          <x:t xml:space="preserve">Linha 4</x:t>
        </x:is>
      </x:c>
      <x:c r="C63" t="inlineStr">
        <x:is>
          <x:t xml:space="preserve">PK-03</x:t>
        </x:is>
      </x:c>
      <x:c r="D63" t="inlineStr">
        <x:is>
          <x:t xml:space="preserve">Corretiva</x:t>
        </x:is>
      </x:c>
      <x:c r="E63" t="n">
        <x:v>0.86</x:v>
      </x:c>
      <x:c r="F63" t="inlineStr">
        <x:is>
          <x:t xml:space="preserve">Microparadas</x:t>
        </x:is>
      </x:c>
    </x:row>
    <x:row r="64">
      <x:c r="A64" s="2" t="n">
        <x:v>46251</x:v>
      </x:c>
      <x:c r="B64" t="inlineStr">
        <x:is>
          <x:t xml:space="preserve">Linha 2</x:t>
        </x:is>
      </x:c>
      <x:c r="C64" t="inlineStr">
        <x:is>
          <x:t xml:space="preserve">PR-02</x:t>
        </x:is>
      </x:c>
      <x:c r="D64" t="inlineStr">
        <x:is>
          <x:t xml:space="preserve">Corretiva</x:t>
        </x:is>
      </x:c>
      <x:c r="E64" t="n">
        <x:v>0.8</x:v>
      </x:c>
      <x:c r="F64" t="inlineStr">
        <x:is>
          <x:t xml:space="preserve">Microparadas</x:t>
        </x:is>
      </x:c>
    </x:row>
    <x:row r="65">
      <x:c r="A65" s="2" t="n">
        <x:v>46251</x:v>
      </x:c>
      <x:c r="B65" t="inlineStr">
        <x:is>
          <x:t xml:space="preserve">Linha 3</x:t>
        </x:is>
      </x:c>
      <x:c r="C65" t="inlineStr">
        <x:is>
          <x:t xml:space="preserve">MX-04</x:t>
        </x:is>
      </x:c>
      <x:c r="D65" t="inlineStr">
        <x:is>
          <x:t xml:space="preserve">Corretiva</x:t>
        </x:is>
      </x:c>
      <x:c r="E65" t="n">
        <x:v>3.5</x:v>
      </x:c>
      <x:c r="F65" t="inlineStr">
        <x:is>
          <x:t xml:space="preserve">Falha mecânica</x:t>
        </x:is>
      </x:c>
    </x:row>
    <x:row r="66">
      <x:c r="A66" s="2" t="n">
        <x:v>46251</x:v>
      </x:c>
      <x:c r="B66" t="inlineStr">
        <x:is>
          <x:t xml:space="preserve">Linha 4</x:t>
        </x:is>
      </x:c>
      <x:c r="C66" t="inlineStr">
        <x:is>
          <x:t xml:space="preserve">PK-03</x:t>
        </x:is>
      </x:c>
      <x:c r="D66" t="inlineStr">
        <x:is>
          <x:t xml:space="preserve">Corretiva</x:t>
        </x:is>
      </x:c>
      <x:c r="E66" t="n">
        <x:v>1.38</x:v>
      </x:c>
      <x:c r="F66" t="inlineStr">
        <x:is>
          <x:t xml:space="preserve">Falha elétrica</x:t>
        </x:is>
      </x:c>
    </x:row>
    <x:row r="67">
      <x:c r="A67" s="2" t="n">
        <x:v>46252</x:v>
      </x:c>
      <x:c r="B67" t="inlineStr">
        <x:is>
          <x:t xml:space="preserve">Linha 1</x:t>
        </x:is>
      </x:c>
      <x:c r="C67" t="inlineStr">
        <x:is>
          <x:t xml:space="preserve">ENV-01</x:t>
        </x:is>
      </x:c>
      <x:c r="D67" t="inlineStr">
        <x:is>
          <x:t xml:space="preserve">Corretiva</x:t>
        </x:is>
      </x:c>
      <x:c r="E67" t="n">
        <x:v>0.51</x:v>
      </x:c>
      <x:c r="F67" t="inlineStr">
        <x:is>
          <x:t xml:space="preserve">Falha mecânica</x:t>
        </x:is>
      </x:c>
    </x:row>
    <x:row r="68">
      <x:c r="A68" s="2" t="n">
        <x:v>46252</x:v>
      </x:c>
      <x:c r="B68" t="inlineStr">
        <x:is>
          <x:t xml:space="preserve">Linha 2</x:t>
        </x:is>
      </x:c>
      <x:c r="C68" t="inlineStr">
        <x:is>
          <x:t xml:space="preserve">PR-02</x:t>
        </x:is>
      </x:c>
      <x:c r="D68" t="inlineStr">
        <x:is>
          <x:t xml:space="preserve">Corretiva</x:t>
        </x:is>
      </x:c>
      <x:c r="E68" t="n">
        <x:v>1.66</x:v>
      </x:c>
      <x:c r="F68" t="inlineStr">
        <x:is>
          <x:t xml:space="preserve">Setup</x:t>
        </x:is>
      </x:c>
    </x:row>
    <x:row r="69">
      <x:c r="A69" s="2" t="n">
        <x:v>46252</x:v>
      </x:c>
      <x:c r="B69" t="inlineStr">
        <x:is>
          <x:t xml:space="preserve">Linha 3</x:t>
        </x:is>
      </x:c>
      <x:c r="C69" t="inlineStr">
        <x:is>
          <x:t xml:space="preserve">MX-04</x:t>
        </x:is>
      </x:c>
      <x:c r="D69" t="inlineStr">
        <x:is>
          <x:t xml:space="preserve">Corretiva</x:t>
        </x:is>
      </x:c>
      <x:c r="E69" t="n">
        <x:v>3.74</x:v>
      </x:c>
      <x:c r="F69" t="inlineStr">
        <x:is>
          <x:t xml:space="preserve">Setup</x:t>
        </x:is>
      </x:c>
    </x:row>
    <x:row r="70">
      <x:c r="A70" s="2" t="n">
        <x:v>46252</x:v>
      </x:c>
      <x:c r="B70" t="inlineStr">
        <x:is>
          <x:t xml:space="preserve">Linha 4</x:t>
        </x:is>
      </x:c>
      <x:c r="C70" t="inlineStr">
        <x:is>
          <x:t xml:space="preserve">PK-03</x:t>
        </x:is>
      </x:c>
      <x:c r="D70" t="inlineStr">
        <x:is>
          <x:t xml:space="preserve">Corretiva</x:t>
        </x:is>
      </x:c>
      <x:c r="E70" t="n">
        <x:v>2.39</x:v>
      </x:c>
      <x:c r="F70" t="inlineStr">
        <x:is>
          <x:t xml:space="preserve">Microparadas</x:t>
        </x:is>
      </x:c>
    </x:row>
    <x:row r="71">
      <x:c r="A71" s="2" t="n">
        <x:v>46253</x:v>
      </x:c>
      <x:c r="B71" t="inlineStr">
        <x:is>
          <x:t xml:space="preserve">Linha 2</x:t>
        </x:is>
      </x:c>
      <x:c r="C71" t="inlineStr">
        <x:is>
          <x:t xml:space="preserve">PR-02</x:t>
        </x:is>
      </x:c>
      <x:c r="D71" t="inlineStr">
        <x:is>
          <x:t xml:space="preserve">Corretiva</x:t>
        </x:is>
      </x:c>
      <x:c r="E71" t="n">
        <x:v>2.15</x:v>
      </x:c>
      <x:c r="F71" t="inlineStr">
        <x:is>
          <x:t xml:space="preserve">Falha mecânica</x:t>
        </x:is>
      </x:c>
    </x:row>
    <x:row r="72">
      <x:c r="A72" s="2" t="n">
        <x:v>46253</x:v>
      </x:c>
      <x:c r="B72" t="inlineStr">
        <x:is>
          <x:t xml:space="preserve">Linha 3</x:t>
        </x:is>
      </x:c>
      <x:c r="C72" t="inlineStr">
        <x:is>
          <x:t xml:space="preserve">MX-04</x:t>
        </x:is>
      </x:c>
      <x:c r="D72" t="inlineStr">
        <x:is>
          <x:t xml:space="preserve">Corretiva</x:t>
        </x:is>
      </x:c>
      <x:c r="E72" t="n">
        <x:v>4.92</x:v>
      </x:c>
      <x:c r="F72" t="inlineStr">
        <x:is>
          <x:t xml:space="preserve">Microparadas</x:t>
        </x:is>
      </x:c>
    </x:row>
    <x:row r="73">
      <x:c r="A73" s="2" t="n">
        <x:v>46253</x:v>
      </x:c>
      <x:c r="B73" t="inlineStr">
        <x:is>
          <x:t xml:space="preserve">Linha 4</x:t>
        </x:is>
      </x:c>
      <x:c r="C73" t="inlineStr">
        <x:is>
          <x:t xml:space="preserve">PK-03</x:t>
        </x:is>
      </x:c>
      <x:c r="D73" t="inlineStr">
        <x:is>
          <x:t xml:space="preserve">Corretiva</x:t>
        </x:is>
      </x:c>
      <x:c r="E73" t="n">
        <x:v>1.38</x:v>
      </x:c>
      <x:c r="F73" t="inlineStr">
        <x:is>
          <x:t xml:space="preserve">Setup</x:t>
        </x:is>
      </x:c>
    </x:row>
    <x:row r="74">
      <x:c r="A74" s="2" t="n">
        <x:v>46254</x:v>
      </x:c>
      <x:c r="B74" t="inlineStr">
        <x:is>
          <x:t xml:space="preserve">Linha 1</x:t>
        </x:is>
      </x:c>
      <x:c r="C74" t="inlineStr">
        <x:is>
          <x:t xml:space="preserve">ENV-01</x:t>
        </x:is>
      </x:c>
      <x:c r="D74" t="inlineStr">
        <x:is>
          <x:t xml:space="preserve">Corretiva</x:t>
        </x:is>
      </x:c>
      <x:c r="E74" t="n">
        <x:v>0.52</x:v>
      </x:c>
      <x:c r="F74" t="inlineStr">
        <x:is>
          <x:t xml:space="preserve">Falta de material</x:t>
        </x:is>
      </x:c>
    </x:row>
    <x:row r="75">
      <x:c r="A75" s="2" t="n">
        <x:v>46254</x:v>
      </x:c>
      <x:c r="B75" t="inlineStr">
        <x:is>
          <x:t xml:space="preserve">Linha 2</x:t>
        </x:is>
      </x:c>
      <x:c r="C75" t="inlineStr">
        <x:is>
          <x:t xml:space="preserve">PR-02</x:t>
        </x:is>
      </x:c>
      <x:c r="D75" t="inlineStr">
        <x:is>
          <x:t xml:space="preserve">Corretiva</x:t>
        </x:is>
      </x:c>
      <x:c r="E75" t="n">
        <x:v>2.42</x:v>
      </x:c>
      <x:c r="F75" t="inlineStr">
        <x:is>
          <x:t xml:space="preserve">Falha elétrica</x:t>
        </x:is>
      </x:c>
    </x:row>
    <x:row r="76">
      <x:c r="A76" s="2" t="n">
        <x:v>46254</x:v>
      </x:c>
      <x:c r="B76" t="inlineStr">
        <x:is>
          <x:t xml:space="preserve">Linha 3</x:t>
        </x:is>
      </x:c>
      <x:c r="C76" t="inlineStr">
        <x:is>
          <x:t xml:space="preserve">MX-04</x:t>
        </x:is>
      </x:c>
      <x:c r="D76" t="inlineStr">
        <x:is>
          <x:t xml:space="preserve">Corretiva</x:t>
        </x:is>
      </x:c>
      <x:c r="E76" t="n">
        <x:v>4.29</x:v>
      </x:c>
      <x:c r="F76" t="inlineStr">
        <x:is>
          <x:t xml:space="preserve">Falha elétrica</x:t>
        </x:is>
      </x:c>
    </x:row>
    <x:row r="77">
      <x:c r="A77" s="2" t="n">
        <x:v>46254</x:v>
      </x:c>
      <x:c r="B77" t="inlineStr">
        <x:is>
          <x:t xml:space="preserve">Linha 4</x:t>
        </x:is>
      </x:c>
      <x:c r="C77" t="inlineStr">
        <x:is>
          <x:t xml:space="preserve">PK-03</x:t>
        </x:is>
      </x:c>
      <x:c r="D77" t="inlineStr">
        <x:is>
          <x:t xml:space="preserve">Corretiva</x:t>
        </x:is>
      </x:c>
      <x:c r="E77" t="n">
        <x:v>1.94</x:v>
      </x:c>
      <x:c r="F77" t="inlineStr">
        <x:is>
          <x:t xml:space="preserve">Setup</x:t>
        </x:is>
      </x:c>
    </x:row>
    <x:row r="78">
      <x:c r="A78" s="2" t="n">
        <x:v>46255</x:v>
      </x:c>
      <x:c r="B78" t="inlineStr">
        <x:is>
          <x:t xml:space="preserve">Linha 1</x:t>
        </x:is>
      </x:c>
      <x:c r="C78" t="inlineStr">
        <x:is>
          <x:t xml:space="preserve">ENV-01</x:t>
        </x:is>
      </x:c>
      <x:c r="D78" t="inlineStr">
        <x:is>
          <x:t xml:space="preserve">Corretiva</x:t>
        </x:is>
      </x:c>
      <x:c r="E78" t="n">
        <x:v>1.02</x:v>
      </x:c>
      <x:c r="F78" t="inlineStr">
        <x:is>
          <x:t xml:space="preserve">Setup</x:t>
        </x:is>
      </x:c>
    </x:row>
    <x:row r="79">
      <x:c r="A79" s="2" t="n">
        <x:v>46255</x:v>
      </x:c>
      <x:c r="B79" t="inlineStr">
        <x:is>
          <x:t xml:space="preserve">Linha 2</x:t>
        </x:is>
      </x:c>
      <x:c r="C79" t="inlineStr">
        <x:is>
          <x:t xml:space="preserve">PR-02</x:t>
        </x:is>
      </x:c>
      <x:c r="D79" t="inlineStr">
        <x:is>
          <x:t xml:space="preserve">Corretiva</x:t>
        </x:is>
      </x:c>
      <x:c r="E79" t="n">
        <x:v>2.16</x:v>
      </x:c>
      <x:c r="F79" t="inlineStr">
        <x:is>
          <x:t xml:space="preserve">Falha mecânica</x:t>
        </x:is>
      </x:c>
    </x:row>
    <x:row r="80">
      <x:c r="A80" s="2" t="n">
        <x:v>46255</x:v>
      </x:c>
      <x:c r="B80" t="inlineStr">
        <x:is>
          <x:t xml:space="preserve">Linha 3</x:t>
        </x:is>
      </x:c>
      <x:c r="C80" t="inlineStr">
        <x:is>
          <x:t xml:space="preserve">MX-04</x:t>
        </x:is>
      </x:c>
      <x:c r="D80" t="inlineStr">
        <x:is>
          <x:t xml:space="preserve">Corretiva</x:t>
        </x:is>
      </x:c>
      <x:c r="E80" t="n">
        <x:v>3.66</x:v>
      </x:c>
      <x:c r="F80" t="inlineStr">
        <x:is>
          <x:t xml:space="preserve">Setup</x:t>
        </x:is>
      </x:c>
    </x:row>
    <x:row r="81">
      <x:c r="A81" s="2" t="n">
        <x:v>46255</x:v>
      </x:c>
      <x:c r="B81" t="inlineStr">
        <x:is>
          <x:t xml:space="preserve">Linha 4</x:t>
        </x:is>
      </x:c>
      <x:c r="C81" t="inlineStr">
        <x:is>
          <x:t xml:space="preserve">PK-03</x:t>
        </x:is>
      </x:c>
      <x:c r="D81" t="inlineStr">
        <x:is>
          <x:t xml:space="preserve">Corretiva</x:t>
        </x:is>
      </x:c>
      <x:c r="E81" t="n">
        <x:v>1.63</x:v>
      </x:c>
      <x:c r="F81" t="inlineStr">
        <x:is>
          <x:t xml:space="preserve">Falta de material</x:t>
        </x:is>
      </x:c>
    </x:row>
    <x:row r="82">
      <x:c r="A82" s="2" t="n">
        <x:v>46256</x:v>
      </x:c>
      <x:c r="B82" t="inlineStr">
        <x:is>
          <x:t xml:space="preserve">Linha 1</x:t>
        </x:is>
      </x:c>
      <x:c r="C82" t="inlineStr">
        <x:is>
          <x:t xml:space="preserve">ENV-01</x:t>
        </x:is>
      </x:c>
      <x:c r="D82" t="inlineStr">
        <x:is>
          <x:t xml:space="preserve">Corretiva</x:t>
        </x:is>
      </x:c>
      <x:c r="E82" t="n">
        <x:v>0.85</x:v>
      </x:c>
      <x:c r="F82" t="inlineStr">
        <x:is>
          <x:t xml:space="preserve">Setup</x:t>
        </x:is>
      </x:c>
    </x:row>
    <x:row r="83">
      <x:c r="A83" s="2" t="n">
        <x:v>46256</x:v>
      </x:c>
      <x:c r="B83" t="inlineStr">
        <x:is>
          <x:t xml:space="preserve">Linha 2</x:t>
        </x:is>
      </x:c>
      <x:c r="C83" t="inlineStr">
        <x:is>
          <x:t xml:space="preserve">PR-02</x:t>
        </x:is>
      </x:c>
      <x:c r="D83" t="inlineStr">
        <x:is>
          <x:t xml:space="preserve">Corretiva</x:t>
        </x:is>
      </x:c>
      <x:c r="E83" t="n">
        <x:v>1.94</x:v>
      </x:c>
      <x:c r="F83" t="inlineStr">
        <x:is>
          <x:t xml:space="preserve">Falha mecânica</x:t>
        </x:is>
      </x:c>
    </x:row>
    <x:row r="84">
      <x:c r="A84" s="2" t="n">
        <x:v>46256</x:v>
      </x:c>
      <x:c r="B84" t="inlineStr">
        <x:is>
          <x:t xml:space="preserve">Linha 3</x:t>
        </x:is>
      </x:c>
      <x:c r="C84" t="inlineStr">
        <x:is>
          <x:t xml:space="preserve">MX-04</x:t>
        </x:is>
      </x:c>
      <x:c r="D84" t="inlineStr">
        <x:is>
          <x:t xml:space="preserve">Corretiva</x:t>
        </x:is>
      </x:c>
      <x:c r="E84" t="n">
        <x:v>4.08</x:v>
      </x:c>
      <x:c r="F84" t="inlineStr">
        <x:is>
          <x:t xml:space="preserve">Falta de material</x:t>
        </x:is>
      </x:c>
    </x:row>
    <x:row r="85">
      <x:c r="A85" s="2" t="n">
        <x:v>46256</x:v>
      </x:c>
      <x:c r="B85" t="inlineStr">
        <x:is>
          <x:t xml:space="preserve">Linha 4</x:t>
        </x:is>
      </x:c>
      <x:c r="C85" t="inlineStr">
        <x:is>
          <x:t xml:space="preserve">PK-03</x:t>
        </x:is>
      </x:c>
      <x:c r="D85" t="inlineStr">
        <x:is>
          <x:t xml:space="preserve">Corretiva</x:t>
        </x:is>
      </x:c>
      <x:c r="E85" t="n">
        <x:v>2.26</x:v>
      </x:c>
      <x:c r="F85" t="inlineStr">
        <x:is>
          <x:t xml:space="preserve">Falha mecânica</x:t>
        </x:is>
      </x:c>
    </x:row>
    <x:row r="86">
      <x:c r="A86" s="2" t="n">
        <x:v>46257</x:v>
      </x:c>
      <x:c r="B86" t="inlineStr">
        <x:is>
          <x:t xml:space="preserve">Linha 1</x:t>
        </x:is>
      </x:c>
      <x:c r="C86" t="inlineStr">
        <x:is>
          <x:t xml:space="preserve">ENV-01</x:t>
        </x:is>
      </x:c>
      <x:c r="D86" t="inlineStr">
        <x:is>
          <x:t xml:space="preserve">Corretiva</x:t>
        </x:is>
      </x:c>
      <x:c r="E86" t="n">
        <x:v>1.24</x:v>
      </x:c>
      <x:c r="F86" t="inlineStr">
        <x:is>
          <x:t xml:space="preserve">Setup</x:t>
        </x:is>
      </x:c>
    </x:row>
    <x:row r="87">
      <x:c r="A87" s="2" t="n">
        <x:v>46257</x:v>
      </x:c>
      <x:c r="B87" t="inlineStr">
        <x:is>
          <x:t xml:space="preserve">Linha 2</x:t>
        </x:is>
      </x:c>
      <x:c r="C87" t="inlineStr">
        <x:is>
          <x:t xml:space="preserve">PR-02</x:t>
        </x:is>
      </x:c>
      <x:c r="D87" t="inlineStr">
        <x:is>
          <x:t xml:space="preserve">Corretiva</x:t>
        </x:is>
      </x:c>
      <x:c r="E87" t="n">
        <x:v>1.02</x:v>
      </x:c>
      <x:c r="F87" t="inlineStr">
        <x:is>
          <x:t xml:space="preserve">Falha mecânica</x:t>
        </x:is>
      </x:c>
    </x:row>
    <x:row r="88">
      <x:c r="A88" s="2" t="n">
        <x:v>46257</x:v>
      </x:c>
      <x:c r="B88" t="inlineStr">
        <x:is>
          <x:t xml:space="preserve">Linha 3</x:t>
        </x:is>
      </x:c>
      <x:c r="C88" t="inlineStr">
        <x:is>
          <x:t xml:space="preserve">MX-04</x:t>
        </x:is>
      </x:c>
      <x:c r="D88" t="inlineStr">
        <x:is>
          <x:t xml:space="preserve">Corretiva</x:t>
        </x:is>
      </x:c>
      <x:c r="E88" t="n">
        <x:v>4.76</x:v>
      </x:c>
      <x:c r="F88" t="inlineStr">
        <x:is>
          <x:t xml:space="preserve">Setup</x:t>
        </x:is>
      </x:c>
    </x:row>
    <x:row r="89">
      <x:c r="A89" s="2" t="n">
        <x:v>46257</x:v>
      </x:c>
      <x:c r="B89" t="inlineStr">
        <x:is>
          <x:t xml:space="preserve">Linha 4</x:t>
        </x:is>
      </x:c>
      <x:c r="C89" t="inlineStr">
        <x:is>
          <x:t xml:space="preserve">PK-03</x:t>
        </x:is>
      </x:c>
      <x:c r="D89" t="inlineStr">
        <x:is>
          <x:t xml:space="preserve">Corretiva</x:t>
        </x:is>
      </x:c>
      <x:c r="E89" t="n">
        <x:v>2.07</x:v>
      </x:c>
      <x:c r="F89" t="inlineStr">
        <x:is>
          <x:t xml:space="preserve">Falta de material</x:t>
        </x:is>
      </x:c>
    </x:row>
    <x:row r="90">
      <x:c r="A90" s="2" t="n">
        <x:v>46258</x:v>
      </x:c>
      <x:c r="B90" t="inlineStr">
        <x:is>
          <x:t xml:space="preserve">Linha 1</x:t>
        </x:is>
      </x:c>
      <x:c r="C90" t="inlineStr">
        <x:is>
          <x:t xml:space="preserve">ENV-01</x:t>
        </x:is>
      </x:c>
      <x:c r="D90" t="inlineStr">
        <x:is>
          <x:t xml:space="preserve">Corretiva</x:t>
        </x:is>
      </x:c>
      <x:c r="E90" t="n">
        <x:v>1.74</x:v>
      </x:c>
      <x:c r="F90" t="inlineStr">
        <x:is>
          <x:t xml:space="preserve">Falha elétrica</x:t>
        </x:is>
      </x:c>
    </x:row>
    <x:row r="91">
      <x:c r="A91" s="2" t="n">
        <x:v>46258</x:v>
      </x:c>
      <x:c r="B91" t="inlineStr">
        <x:is>
          <x:t xml:space="preserve">Linha 2</x:t>
        </x:is>
      </x:c>
      <x:c r="C91" t="inlineStr">
        <x:is>
          <x:t xml:space="preserve">PR-02</x:t>
        </x:is>
      </x:c>
      <x:c r="D91" t="inlineStr">
        <x:is>
          <x:t xml:space="preserve">Corretiva</x:t>
        </x:is>
      </x:c>
      <x:c r="E91" t="n">
        <x:v>1.77</x:v>
      </x:c>
      <x:c r="F91" t="inlineStr">
        <x:is>
          <x:t xml:space="preserve">Microparadas</x:t>
        </x:is>
      </x:c>
    </x:row>
    <x:row r="92">
      <x:c r="A92" s="2" t="n">
        <x:v>46258</x:v>
      </x:c>
      <x:c r="B92" t="inlineStr">
        <x:is>
          <x:t xml:space="preserve">Linha 3</x:t>
        </x:is>
      </x:c>
      <x:c r="C92" t="inlineStr">
        <x:is>
          <x:t xml:space="preserve">MX-04</x:t>
        </x:is>
      </x:c>
      <x:c r="D92" t="inlineStr">
        <x:is>
          <x:t xml:space="preserve">Corretiva</x:t>
        </x:is>
      </x:c>
      <x:c r="E92" t="n">
        <x:v>2.45</x:v>
      </x:c>
      <x:c r="F92" t="inlineStr">
        <x:is>
          <x:t xml:space="preserve">Falta de material</x:t>
        </x:is>
      </x:c>
    </x:row>
    <x:row r="93">
      <x:c r="A93" s="2" t="n">
        <x:v>46259</x:v>
      </x:c>
      <x:c r="B93" t="inlineStr">
        <x:is>
          <x:t xml:space="preserve">Linha 1</x:t>
        </x:is>
      </x:c>
      <x:c r="C93" t="inlineStr">
        <x:is>
          <x:t xml:space="preserve">ENV-01</x:t>
        </x:is>
      </x:c>
      <x:c r="D93" t="inlineStr">
        <x:is>
          <x:t xml:space="preserve">Corretiva</x:t>
        </x:is>
      </x:c>
      <x:c r="E93" t="n">
        <x:v>1.29</x:v>
      </x:c>
      <x:c r="F93" t="inlineStr">
        <x:is>
          <x:t xml:space="preserve">Setup</x:t>
        </x:is>
      </x:c>
    </x:row>
    <x:row r="94">
      <x:c r="A94" s="2" t="n">
        <x:v>46259</x:v>
      </x:c>
      <x:c r="B94" t="inlineStr">
        <x:is>
          <x:t xml:space="preserve">Linha 2</x:t>
        </x:is>
      </x:c>
      <x:c r="C94" t="inlineStr">
        <x:is>
          <x:t xml:space="preserve">PR-02</x:t>
        </x:is>
      </x:c>
      <x:c r="D94" t="inlineStr">
        <x:is>
          <x:t xml:space="preserve">Corretiva</x:t>
        </x:is>
      </x:c>
      <x:c r="E94" t="n">
        <x:v>2.97</x:v>
      </x:c>
      <x:c r="F94" t="inlineStr">
        <x:is>
          <x:t xml:space="preserve">Microparadas</x:t>
        </x:is>
      </x:c>
    </x:row>
    <x:row r="95">
      <x:c r="A95" s="2" t="n">
        <x:v>46259</x:v>
      </x:c>
      <x:c r="B95" t="inlineStr">
        <x:is>
          <x:t xml:space="preserve">Linha 3</x:t>
        </x:is>
      </x:c>
      <x:c r="C95" t="inlineStr">
        <x:is>
          <x:t xml:space="preserve">MX-04</x:t>
        </x:is>
      </x:c>
      <x:c r="D95" t="inlineStr">
        <x:is>
          <x:t xml:space="preserve">Corretiva</x:t>
        </x:is>
      </x:c>
      <x:c r="E95" t="n">
        <x:v>3.22</x:v>
      </x:c>
      <x:c r="F95" t="inlineStr">
        <x:is>
          <x:t xml:space="preserve">Falta de material</x:t>
        </x:is>
      </x:c>
    </x:row>
    <x:row r="96">
      <x:c r="A96" s="2" t="n">
        <x:v>46259</x:v>
      </x:c>
      <x:c r="B96" t="inlineStr">
        <x:is>
          <x:t xml:space="preserve">Linha 4</x:t>
        </x:is>
      </x:c>
      <x:c r="C96" t="inlineStr">
        <x:is>
          <x:t xml:space="preserve">PK-03</x:t>
        </x:is>
      </x:c>
      <x:c r="D96" t="inlineStr">
        <x:is>
          <x:t xml:space="preserve">Corretiva</x:t>
        </x:is>
      </x:c>
      <x:c r="E96" t="n">
        <x:v>1.45</x:v>
      </x:c>
      <x:c r="F96" t="inlineStr">
        <x:is>
          <x:t xml:space="preserve">Falha mecânica</x:t>
        </x:is>
      </x:c>
    </x:row>
    <x:row r="97">
      <x:c r="A97" s="2" t="n">
        <x:v>46260</x:v>
      </x:c>
      <x:c r="B97" t="inlineStr">
        <x:is>
          <x:t xml:space="preserve">Linha 1</x:t>
        </x:is>
      </x:c>
      <x:c r="C97" t="inlineStr">
        <x:is>
          <x:t xml:space="preserve">ENV-01</x:t>
        </x:is>
      </x:c>
      <x:c r="D97" t="inlineStr">
        <x:is>
          <x:t xml:space="preserve">Corretiva</x:t>
        </x:is>
      </x:c>
      <x:c r="E97" t="n">
        <x:v>0.8100000000000001</x:v>
      </x:c>
      <x:c r="F97" t="inlineStr">
        <x:is>
          <x:t xml:space="preserve">Microparadas</x:t>
        </x:is>
      </x:c>
    </x:row>
    <x:row r="98">
      <x:c r="A98" s="2" t="n">
        <x:v>46260</x:v>
      </x:c>
      <x:c r="B98" t="inlineStr">
        <x:is>
          <x:t xml:space="preserve">Linha 2</x:t>
        </x:is>
      </x:c>
      <x:c r="C98" t="inlineStr">
        <x:is>
          <x:t xml:space="preserve">PR-02</x:t>
        </x:is>
      </x:c>
      <x:c r="D98" t="inlineStr">
        <x:is>
          <x:t xml:space="preserve">Corretiva</x:t>
        </x:is>
      </x:c>
      <x:c r="E98" t="n">
        <x:v>1.92</x:v>
      </x:c>
      <x:c r="F98" t="inlineStr">
        <x:is>
          <x:t xml:space="preserve">Falta de material</x:t>
        </x:is>
      </x:c>
    </x:row>
    <x:row r="99">
      <x:c r="A99" s="2" t="n">
        <x:v>46260</x:v>
      </x:c>
      <x:c r="B99" t="inlineStr">
        <x:is>
          <x:t xml:space="preserve">Linha 3</x:t>
        </x:is>
      </x:c>
      <x:c r="C99" t="inlineStr">
        <x:is>
          <x:t xml:space="preserve">MX-04</x:t>
        </x:is>
      </x:c>
      <x:c r="D99" t="inlineStr">
        <x:is>
          <x:t xml:space="preserve">Corretiva</x:t>
        </x:is>
      </x:c>
      <x:c r="E99" t="n">
        <x:v>4.35</x:v>
      </x:c>
      <x:c r="F99" t="inlineStr">
        <x:is>
          <x:t xml:space="preserve">Setup</x:t>
        </x:is>
      </x:c>
    </x:row>
    <x:row r="100">
      <x:c r="A100" s="2" t="n">
        <x:v>46260</x:v>
      </x:c>
      <x:c r="B100" t="inlineStr">
        <x:is>
          <x:t xml:space="preserve">Linha 4</x:t>
        </x:is>
      </x:c>
      <x:c r="C100" t="inlineStr">
        <x:is>
          <x:t xml:space="preserve">PK-03</x:t>
        </x:is>
      </x:c>
      <x:c r="D100" t="inlineStr">
        <x:is>
          <x:t xml:space="preserve">Corretiva</x:t>
        </x:is>
      </x:c>
      <x:c r="E100" t="n">
        <x:v>2.04</x:v>
      </x:c>
      <x:c r="F100" t="inlineStr">
        <x:is>
          <x:t xml:space="preserve">Falha elétrica</x:t>
        </x:is>
      </x:c>
    </x:row>
    <x:row r="101">
      <x:c r="A101" s="2" t="n">
        <x:v>46261</x:v>
      </x:c>
      <x:c r="B101" t="inlineStr">
        <x:is>
          <x:t xml:space="preserve">Linha 1</x:t>
        </x:is>
      </x:c>
      <x:c r="C101" t="inlineStr">
        <x:is>
          <x:t xml:space="preserve">ENV-01</x:t>
        </x:is>
      </x:c>
      <x:c r="D101" t="inlineStr">
        <x:is>
          <x:t xml:space="preserve">Corretiva</x:t>
        </x:is>
      </x:c>
      <x:c r="E101" t="n">
        <x:v>0.6</x:v>
      </x:c>
      <x:c r="F101" t="inlineStr">
        <x:is>
          <x:t xml:space="preserve">Falta de material</x:t>
        </x:is>
      </x:c>
    </x:row>
    <x:row r="102">
      <x:c r="A102" s="2" t="n">
        <x:v>46261</x:v>
      </x:c>
      <x:c r="B102" t="inlineStr">
        <x:is>
          <x:t xml:space="preserve">Linha 2</x:t>
        </x:is>
      </x:c>
      <x:c r="C102" t="inlineStr">
        <x:is>
          <x:t xml:space="preserve">PR-02</x:t>
        </x:is>
      </x:c>
      <x:c r="D102" t="inlineStr">
        <x:is>
          <x:t xml:space="preserve">Corretiva</x:t>
        </x:is>
      </x:c>
      <x:c r="E102" t="n">
        <x:v>1.93</x:v>
      </x:c>
      <x:c r="F102" t="inlineStr">
        <x:is>
          <x:t xml:space="preserve">Setup</x:t>
        </x:is>
      </x:c>
    </x:row>
    <x:row r="103">
      <x:c r="A103" s="2" t="n">
        <x:v>46261</x:v>
      </x:c>
      <x:c r="B103" t="inlineStr">
        <x:is>
          <x:t xml:space="preserve">Linha 3</x:t>
        </x:is>
      </x:c>
      <x:c r="C103" t="inlineStr">
        <x:is>
          <x:t xml:space="preserve">MX-04</x:t>
        </x:is>
      </x:c>
      <x:c r="D103" t="inlineStr">
        <x:is>
          <x:t xml:space="preserve">Corretiva</x:t>
        </x:is>
      </x:c>
      <x:c r="E103" t="n">
        <x:v>4.48</x:v>
      </x:c>
      <x:c r="F103" t="inlineStr">
        <x:is>
          <x:t xml:space="preserve">Microparadas</x:t>
        </x:is>
      </x:c>
    </x:row>
    <x:row r="104">
      <x:c r="A104" s="2" t="n">
        <x:v>46261</x:v>
      </x:c>
      <x:c r="B104" t="inlineStr">
        <x:is>
          <x:t xml:space="preserve">Linha 4</x:t>
        </x:is>
      </x:c>
      <x:c r="C104" t="inlineStr">
        <x:is>
          <x:t xml:space="preserve">PK-03</x:t>
        </x:is>
      </x:c>
      <x:c r="D104" t="inlineStr">
        <x:is>
          <x:t xml:space="preserve">Corretiva</x:t>
        </x:is>
      </x:c>
      <x:c r="E104" t="n">
        <x:v>1.04</x:v>
      </x:c>
      <x:c r="F104" t="inlineStr">
        <x:is>
          <x:t xml:space="preserve">Falha elétrica</x:t>
        </x:is>
      </x:c>
    </x:row>
    <x:row r="105">
      <x:c r="A105" s="2" t="n">
        <x:v>46262</x:v>
      </x:c>
      <x:c r="B105" t="inlineStr">
        <x:is>
          <x:t xml:space="preserve">Linha 1</x:t>
        </x:is>
      </x:c>
      <x:c r="C105" t="inlineStr">
        <x:is>
          <x:t xml:space="preserve">ENV-01</x:t>
        </x:is>
      </x:c>
      <x:c r="D105" t="inlineStr">
        <x:is>
          <x:t xml:space="preserve">Corretiva</x:t>
        </x:is>
      </x:c>
      <x:c r="E105" t="n">
        <x:v>2.33</x:v>
      </x:c>
      <x:c r="F105" t="inlineStr">
        <x:is>
          <x:t xml:space="preserve">Falta de material</x:t>
        </x:is>
      </x:c>
    </x:row>
    <x:row r="106">
      <x:c r="A106" s="2" t="n">
        <x:v>46262</x:v>
      </x:c>
      <x:c r="B106" t="inlineStr">
        <x:is>
          <x:t xml:space="preserve">Linha 2</x:t>
        </x:is>
      </x:c>
      <x:c r="C106" t="inlineStr">
        <x:is>
          <x:t xml:space="preserve">PR-02</x:t>
        </x:is>
      </x:c>
      <x:c r="D106" t="inlineStr">
        <x:is>
          <x:t xml:space="preserve">Corretiva</x:t>
        </x:is>
      </x:c>
      <x:c r="E106" t="n">
        <x:v>1.5</x:v>
      </x:c>
      <x:c r="F106" t="inlineStr">
        <x:is>
          <x:t xml:space="preserve">Falta de material</x:t>
        </x:is>
      </x:c>
    </x:row>
    <x:row r="107">
      <x:c r="A107" s="2" t="n">
        <x:v>46262</x:v>
      </x:c>
      <x:c r="B107" t="inlineStr">
        <x:is>
          <x:t xml:space="preserve">Linha 3</x:t>
        </x:is>
      </x:c>
      <x:c r="C107" t="inlineStr">
        <x:is>
          <x:t xml:space="preserve">MX-04</x:t>
        </x:is>
      </x:c>
      <x:c r="D107" t="inlineStr">
        <x:is>
          <x:t xml:space="preserve">Corretiva</x:t>
        </x:is>
      </x:c>
      <x:c r="E107" t="n">
        <x:v>3.68</x:v>
      </x:c>
      <x:c r="F107" t="inlineStr">
        <x:is>
          <x:t xml:space="preserve">Microparadas</x:t>
        </x:is>
      </x:c>
    </x:row>
    <x:row r="108">
      <x:c r="A108" s="2" t="n">
        <x:v>46262</x:v>
      </x:c>
      <x:c r="B108" t="inlineStr">
        <x:is>
          <x:t xml:space="preserve">Linha 4</x:t>
        </x:is>
      </x:c>
      <x:c r="C108" t="inlineStr">
        <x:is>
          <x:t xml:space="preserve">PK-03</x:t>
        </x:is>
      </x:c>
      <x:c r="D108" t="inlineStr">
        <x:is>
          <x:t xml:space="preserve">Corretiva</x:t>
        </x:is>
      </x:c>
      <x:c r="E108" t="n">
        <x:v>1.56</x:v>
      </x:c>
      <x:c r="F108" t="inlineStr">
        <x:is>
          <x:t xml:space="preserve">Microparadas</x:t>
        </x:is>
      </x:c>
    </x:row>
    <x:row r="109">
      <x:c r="A109" s="2" t="n">
        <x:v>46263</x:v>
      </x:c>
      <x:c r="B109" t="inlineStr">
        <x:is>
          <x:t xml:space="preserve">Linha 1</x:t>
        </x:is>
      </x:c>
      <x:c r="C109" t="inlineStr">
        <x:is>
          <x:t xml:space="preserve">ENV-01</x:t>
        </x:is>
      </x:c>
      <x:c r="D109" t="inlineStr">
        <x:is>
          <x:t xml:space="preserve">Corretiva</x:t>
        </x:is>
      </x:c>
      <x:c r="E109" t="n">
        <x:v>1.77</x:v>
      </x:c>
      <x:c r="F109" t="inlineStr">
        <x:is>
          <x:t xml:space="preserve">Falha elétrica</x:t>
        </x:is>
      </x:c>
    </x:row>
    <x:row r="110">
      <x:c r="A110" s="2" t="n">
        <x:v>46263</x:v>
      </x:c>
      <x:c r="B110" t="inlineStr">
        <x:is>
          <x:t xml:space="preserve">Linha 2</x:t>
        </x:is>
      </x:c>
      <x:c r="C110" t="inlineStr">
        <x:is>
          <x:t xml:space="preserve">PR-02</x:t>
        </x:is>
      </x:c>
      <x:c r="D110" t="inlineStr">
        <x:is>
          <x:t xml:space="preserve">Corretiva</x:t>
        </x:is>
      </x:c>
      <x:c r="E110" t="n">
        <x:v>1.5</x:v>
      </x:c>
      <x:c r="F110" t="inlineStr">
        <x:is>
          <x:t xml:space="preserve">Falha elétrica</x:t>
        </x:is>
      </x:c>
    </x:row>
    <x:row r="111">
      <x:c r="A111" s="2" t="n">
        <x:v>46263</x:v>
      </x:c>
      <x:c r="B111" t="inlineStr">
        <x:is>
          <x:t xml:space="preserve">Linha 3</x:t>
        </x:is>
      </x:c>
      <x:c r="C111" t="inlineStr">
        <x:is>
          <x:t xml:space="preserve">MX-04</x:t>
        </x:is>
      </x:c>
      <x:c r="D111" t="inlineStr">
        <x:is>
          <x:t xml:space="preserve">Corretiva</x:t>
        </x:is>
      </x:c>
      <x:c r="E111" t="n">
        <x:v>3.61</x:v>
      </x:c>
      <x:c r="F111" t="inlineStr">
        <x:is>
          <x:t xml:space="preserve">Falha mecânica</x:t>
        </x:is>
      </x:c>
    </x:row>
    <x:row r="112">
      <x:c r="A112" s="2" t="n">
        <x:v>46263</x:v>
      </x:c>
      <x:c r="B112" t="inlineStr">
        <x:is>
          <x:t xml:space="preserve">Linha 4</x:t>
        </x:is>
      </x:c>
      <x:c r="C112" t="inlineStr">
        <x:is>
          <x:t xml:space="preserve">PK-03</x:t>
        </x:is>
      </x:c>
      <x:c r="D112" t="inlineStr">
        <x:is>
          <x:t xml:space="preserve">Corretiva</x:t>
        </x:is>
      </x:c>
      <x:c r="E112" t="n">
        <x:v>3.11</x:v>
      </x:c>
      <x:c r="F112" t="inlineStr">
        <x:is>
          <x:t xml:space="preserve">Falta de material</x:t>
        </x:is>
      </x:c>
    </x:row>
    <x:row r="113">
      <x:c r="A113" s="2" t="n">
        <x:v>46264</x:v>
      </x:c>
      <x:c r="B113" t="inlineStr">
        <x:is>
          <x:t xml:space="preserve">Linha 1</x:t>
        </x:is>
      </x:c>
      <x:c r="C113" t="inlineStr">
        <x:is>
          <x:t xml:space="preserve">ENV-01</x:t>
        </x:is>
      </x:c>
      <x:c r="D113" t="inlineStr">
        <x:is>
          <x:t xml:space="preserve">Corretiva</x:t>
        </x:is>
      </x:c>
      <x:c r="E113" t="n">
        <x:v>1.06</x:v>
      </x:c>
      <x:c r="F113" t="inlineStr">
        <x:is>
          <x:t xml:space="preserve">Setup</x:t>
        </x:is>
      </x:c>
    </x:row>
    <x:row r="114">
      <x:c r="A114" s="2" t="n">
        <x:v>46264</x:v>
      </x:c>
      <x:c r="B114" t="inlineStr">
        <x:is>
          <x:t xml:space="preserve">Linha 2</x:t>
        </x:is>
      </x:c>
      <x:c r="C114" t="inlineStr">
        <x:is>
          <x:t xml:space="preserve">PR-02</x:t>
        </x:is>
      </x:c>
      <x:c r="D114" t="inlineStr">
        <x:is>
          <x:t xml:space="preserve">Corretiva</x:t>
        </x:is>
      </x:c>
      <x:c r="E114" t="n">
        <x:v>1.58</x:v>
      </x:c>
      <x:c r="F114" t="inlineStr">
        <x:is>
          <x:t xml:space="preserve">Falha elétrica</x:t>
        </x:is>
      </x:c>
    </x:row>
    <x:row r="115">
      <x:c r="A115" s="2" t="n">
        <x:v>46264</x:v>
      </x:c>
      <x:c r="B115" t="inlineStr">
        <x:is>
          <x:t xml:space="preserve">Linha 3</x:t>
        </x:is>
      </x:c>
      <x:c r="C115" t="inlineStr">
        <x:is>
          <x:t xml:space="preserve">MX-04</x:t>
        </x:is>
      </x:c>
      <x:c r="D115" t="inlineStr">
        <x:is>
          <x:t xml:space="preserve">Corretiva</x:t>
        </x:is>
      </x:c>
      <x:c r="E115" t="n">
        <x:v>3.68</x:v>
      </x:c>
      <x:c r="F115" t="inlineStr">
        <x:is>
          <x:t xml:space="preserve">Falha mecânica</x:t>
        </x:is>
      </x:c>
    </x:row>
    <x:row r="116">
      <x:c r="A116" s="2" t="n">
        <x:v>46264</x:v>
      </x:c>
      <x:c r="B116" t="inlineStr">
        <x:is>
          <x:t xml:space="preserve">Linha 4</x:t>
        </x:is>
      </x:c>
      <x:c r="C116" t="inlineStr">
        <x:is>
          <x:t xml:space="preserve">PK-03</x:t>
        </x:is>
      </x:c>
      <x:c r="D116" t="inlineStr">
        <x:is>
          <x:t xml:space="preserve">Corretiva</x:t>
        </x:is>
      </x:c>
      <x:c r="E116" t="n">
        <x:v>2.05</x:v>
      </x:c>
      <x:c r="F116" t="inlineStr">
        <x:is>
          <x:t xml:space="preserve">Falta de material</x:t>
        </x:is>
      </x:c>
    </x:row>
    <x:row r="117">
      <x:c r="A117" s="2" t="n">
        <x:v>46265</x:v>
      </x:c>
      <x:c r="B117" t="inlineStr">
        <x:is>
          <x:t xml:space="preserve">Linha 1</x:t>
        </x:is>
      </x:c>
      <x:c r="C117" t="inlineStr">
        <x:is>
          <x:t xml:space="preserve">ENV-01</x:t>
        </x:is>
      </x:c>
      <x:c r="D117" t="inlineStr">
        <x:is>
          <x:t xml:space="preserve">Corretiva</x:t>
        </x:is>
      </x:c>
      <x:c r="E117" t="n">
        <x:v>1.46</x:v>
      </x:c>
      <x:c r="F117" t="inlineStr">
        <x:is>
          <x:t xml:space="preserve">Falha mecânica</x:t>
        </x:is>
      </x:c>
    </x:row>
    <x:row r="118">
      <x:c r="A118" s="2" t="n">
        <x:v>46265</x:v>
      </x:c>
      <x:c r="B118" t="inlineStr">
        <x:is>
          <x:t xml:space="preserve">Linha 2</x:t>
        </x:is>
      </x:c>
      <x:c r="C118" t="inlineStr">
        <x:is>
          <x:t xml:space="preserve">PR-02</x:t>
        </x:is>
      </x:c>
      <x:c r="D118" t="inlineStr">
        <x:is>
          <x:t xml:space="preserve">Corretiva</x:t>
        </x:is>
      </x:c>
      <x:c r="E118" t="n">
        <x:v>2.12</x:v>
      </x:c>
      <x:c r="F118" t="inlineStr">
        <x:is>
          <x:t xml:space="preserve">Falta de material</x:t>
        </x:is>
      </x:c>
    </x:row>
    <x:row r="119">
      <x:c r="A119" s="2" t="n">
        <x:v>46265</x:v>
      </x:c>
      <x:c r="B119" t="inlineStr">
        <x:is>
          <x:t xml:space="preserve">Linha 3</x:t>
        </x:is>
      </x:c>
      <x:c r="C119" t="inlineStr">
        <x:is>
          <x:t xml:space="preserve">MX-04</x:t>
        </x:is>
      </x:c>
      <x:c r="D119" t="inlineStr">
        <x:is>
          <x:t xml:space="preserve">Corretiva</x:t>
        </x:is>
      </x:c>
      <x:c r="E119" t="n">
        <x:v>3.99</x:v>
      </x:c>
      <x:c r="F119" t="inlineStr">
        <x:is>
          <x:t xml:space="preserve">Falha mecânica</x:t>
        </x:is>
      </x:c>
    </x:row>
    <x:row r="120">
      <x:c r="A120" s="2" t="n">
        <x:v>46265</x:v>
      </x:c>
      <x:c r="B120" t="inlineStr">
        <x:is>
          <x:t xml:space="preserve">Linha 4</x:t>
        </x:is>
      </x:c>
      <x:c r="C120" t="inlineStr">
        <x:is>
          <x:t xml:space="preserve">PK-03</x:t>
        </x:is>
      </x:c>
      <x:c r="D120" t="inlineStr">
        <x:is>
          <x:t xml:space="preserve">Corretiva</x:t>
        </x:is>
      </x:c>
      <x:c r="E120" t="n">
        <x:v>1.27</x:v>
      </x:c>
      <x:c r="F120" t="inlineStr">
        <x:is>
          <x:t xml:space="preserve">Falta de material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Turno</x:t>
        </x:is>
      </x:c>
      <x:c r="D1" s="1" t="inlineStr">
        <x:is>
          <x:t xml:space="preserve">Operadores</x:t>
        </x:is>
      </x:c>
      <x:c r="E1" s="1" t="inlineStr">
        <x:is>
          <x:t xml:space="preserve">Horas_Normais</x:t>
        </x:is>
      </x:c>
      <x:c r="F1" s="1" t="inlineStr">
        <x:is>
          <x:t xml:space="preserve">Horas_Extras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ABC</x:t>
        </x:is>
      </x:c>
      <x:c r="D2" t="n">
        <x:v>12</x:v>
      </x:c>
      <x:c r="E2" t="n">
        <x:v>288</x:v>
      </x:c>
      <x:c r="F2" t="n">
        <x:v>6.18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ABC</x:t>
        </x:is>
      </x:c>
      <x:c r="D3" t="n">
        <x:v>12</x:v>
      </x:c>
      <x:c r="E3" t="n">
        <x:v>264</x:v>
      </x:c>
      <x:c r="F3" t="n">
        <x:v>6.32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ABC</x:t>
        </x:is>
      </x:c>
      <x:c r="D4" t="n">
        <x:v>12</x:v>
      </x:c>
      <x:c r="E4" t="n">
        <x:v>288</x:v>
      </x:c>
      <x:c r="F4" t="n">
        <x:v>12.13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ABC</x:t>
        </x:is>
      </x:c>
      <x:c r="D5" t="n">
        <x:v>12</x:v>
      </x:c>
      <x:c r="E5" t="n">
        <x:v>240</x:v>
      </x:c>
      <x:c r="F5" t="n">
        <x:v>5.44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ABC</x:t>
        </x:is>
      </x:c>
      <x:c r="D6" t="n">
        <x:v>12</x:v>
      </x:c>
      <x:c r="E6" t="n">
        <x:v>288</x:v>
      </x:c>
      <x:c r="F6" t="n">
        <x:v>6.44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ABC</x:t>
        </x:is>
      </x:c>
      <x:c r="D7" t="n">
        <x:v>12</x:v>
      </x:c>
      <x:c r="E7" t="n">
        <x:v>264</x:v>
      </x:c>
      <x:c r="F7" t="n">
        <x:v>8.65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ABC</x:t>
        </x:is>
      </x:c>
      <x:c r="D8" t="n">
        <x:v>12</x:v>
      </x:c>
      <x:c r="E8" t="n">
        <x:v>288</x:v>
      </x:c>
      <x:c r="F8" t="n">
        <x:v>20.08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ABC</x:t>
        </x:is>
      </x:c>
      <x:c r="D9" t="n">
        <x:v>12</x:v>
      </x:c>
      <x:c r="E9" t="n">
        <x:v>240</x:v>
      </x:c>
      <x:c r="F9" t="n">
        <x:v>8.289999999999999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ABC</x:t>
        </x:is>
      </x:c>
      <x:c r="D10" t="n">
        <x:v>12</x:v>
      </x:c>
      <x:c r="E10" t="n">
        <x:v>288</x:v>
      </x:c>
      <x:c r="F10" t="n">
        <x:v>8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ABC</x:t>
        </x:is>
      </x:c>
      <x:c r="D11" t="n">
        <x:v>12</x:v>
      </x:c>
      <x:c r="E11" t="n">
        <x:v>264</x:v>
      </x:c>
      <x:c r="F11" t="n">
        <x:v>2.44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ABC</x:t>
        </x:is>
      </x:c>
      <x:c r="D12" t="n">
        <x:v>12</x:v>
      </x:c>
      <x:c r="E12" t="n">
        <x:v>288</x:v>
      </x:c>
      <x:c r="F12" t="n">
        <x:v>17.94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ABC</x:t>
        </x:is>
      </x:c>
      <x:c r="D13" t="n">
        <x:v>12</x:v>
      </x:c>
      <x:c r="E13" t="n">
        <x:v>240</x:v>
      </x:c>
      <x:c r="F13" t="n">
        <x:v>5.02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ABC</x:t>
        </x:is>
      </x:c>
      <x:c r="D14" t="n">
        <x:v>12</x:v>
      </x:c>
      <x:c r="E14" t="n">
        <x:v>288</x:v>
      </x:c>
      <x:c r="F14" t="n">
        <x:v>5.64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ABC</x:t>
        </x:is>
      </x:c>
      <x:c r="D15" t="n">
        <x:v>12</x:v>
      </x:c>
      <x:c r="E15" t="n">
        <x:v>264</x:v>
      </x:c>
      <x:c r="F15" t="n">
        <x:v>7.96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ABC</x:t>
        </x:is>
      </x:c>
      <x:c r="D16" t="n">
        <x:v>12</x:v>
      </x:c>
      <x:c r="E16" t="n">
        <x:v>288</x:v>
      </x:c>
      <x:c r="F16" t="n">
        <x:v>12.13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ABC</x:t>
        </x:is>
      </x:c>
      <x:c r="D17" t="n">
        <x:v>12</x:v>
      </x:c>
      <x:c r="E17" t="n">
        <x:v>240</x:v>
      </x:c>
      <x:c r="F17" t="n">
        <x:v>6.49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ABC</x:t>
        </x:is>
      </x:c>
      <x:c r="D18" t="n">
        <x:v>12</x:v>
      </x:c>
      <x:c r="E18" t="n">
        <x:v>288</x:v>
      </x:c>
      <x:c r="F18" t="n">
        <x:v>5.38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ABC</x:t>
        </x:is>
      </x:c>
      <x:c r="D19" t="n">
        <x:v>12</x:v>
      </x:c>
      <x:c r="E19" t="n">
        <x:v>264</x:v>
      </x:c>
      <x:c r="F19" t="n">
        <x:v>2.84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ABC</x:t>
        </x:is>
      </x:c>
      <x:c r="D20" t="n">
        <x:v>12</x:v>
      </x:c>
      <x:c r="E20" t="n">
        <x:v>288</x:v>
      </x:c>
      <x:c r="F20" t="n">
        <x:v>15.64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ABC</x:t>
        </x:is>
      </x:c>
      <x:c r="D21" t="n">
        <x:v>12</x:v>
      </x:c>
      <x:c r="E21" t="n">
        <x:v>240</x:v>
      </x:c>
      <x:c r="F21" t="n">
        <x:v>0.76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ABC</x:t>
        </x:is>
      </x:c>
      <x:c r="D22" t="n">
        <x:v>12</x:v>
      </x:c>
      <x:c r="E22" t="n">
        <x:v>288</x:v>
      </x:c>
      <x:c r="F22" t="n">
        <x:v>10.33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ABC</x:t>
        </x:is>
      </x:c>
      <x:c r="D23" t="n">
        <x:v>12</x:v>
      </x:c>
      <x:c r="E23" t="n">
        <x:v>264</x:v>
      </x:c>
      <x:c r="F23" t="n">
        <x:v>4.37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ABC</x:t>
        </x:is>
      </x:c>
      <x:c r="D24" t="n">
        <x:v>12</x:v>
      </x:c>
      <x:c r="E24" t="n">
        <x:v>288</x:v>
      </x:c>
      <x:c r="F24" t="n">
        <x:v>18.9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ABC</x:t>
        </x:is>
      </x:c>
      <x:c r="D25" t="n">
        <x:v>12</x:v>
      </x:c>
      <x:c r="E25" t="n">
        <x:v>240</x:v>
      </x:c>
      <x:c r="F25" t="n">
        <x:v>4.87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ABC</x:t>
        </x:is>
      </x:c>
      <x:c r="D26" t="n">
        <x:v>12</x:v>
      </x:c>
      <x:c r="E26" t="n">
        <x:v>288</x:v>
      </x:c>
      <x:c r="F26" t="n">
        <x:v>7.01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ABC</x:t>
        </x:is>
      </x:c>
      <x:c r="D27" t="n">
        <x:v>12</x:v>
      </x:c>
      <x:c r="E27" t="n">
        <x:v>264</x:v>
      </x:c>
      <x:c r="F27" t="n">
        <x:v>8.199999999999999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ABC</x:t>
        </x:is>
      </x:c>
      <x:c r="D28" t="n">
        <x:v>12</x:v>
      </x:c>
      <x:c r="E28" t="n">
        <x:v>288</x:v>
      </x:c>
      <x:c r="F28" t="n">
        <x:v>12.68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ABC</x:t>
        </x:is>
      </x:c>
      <x:c r="D29" t="n">
        <x:v>12</x:v>
      </x:c>
      <x:c r="E29" t="n">
        <x:v>240</x:v>
      </x:c>
      <x:c r="F29" t="n">
        <x:v>4.68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ABC</x:t>
        </x:is>
      </x:c>
      <x:c r="D30" t="n">
        <x:v>12</x:v>
      </x:c>
      <x:c r="E30" t="n">
        <x:v>288</x:v>
      </x:c>
      <x:c r="F30" t="n">
        <x:v>8.039999999999999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ABC</x:t>
        </x:is>
      </x:c>
      <x:c r="D31" t="n">
        <x:v>12</x:v>
      </x:c>
      <x:c r="E31" t="n">
        <x:v>264</x:v>
      </x:c>
      <x:c r="F31" t="n">
        <x:v>5.58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ABC</x:t>
        </x:is>
      </x:c>
      <x:c r="D32" t="n">
        <x:v>12</x:v>
      </x:c>
      <x:c r="E32" t="n">
        <x:v>288</x:v>
      </x:c>
      <x:c r="F32" t="n">
        <x:v>12.26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ABC</x:t>
        </x:is>
      </x:c>
      <x:c r="D33" t="n">
        <x:v>12</x:v>
      </x:c>
      <x:c r="E33" t="n">
        <x:v>240</x:v>
      </x:c>
      <x:c r="F33" t="n">
        <x:v>2.56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ABC</x:t>
        </x:is>
      </x:c>
      <x:c r="D34" t="n">
        <x:v>12</x:v>
      </x:c>
      <x:c r="E34" t="n">
        <x:v>288</x:v>
      </x:c>
      <x:c r="F34" t="n">
        <x:v>1.07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ABC</x:t>
        </x:is>
      </x:c>
      <x:c r="D35" t="n">
        <x:v>12</x:v>
      </x:c>
      <x:c r="E35" t="n">
        <x:v>264</x:v>
      </x:c>
      <x:c r="F35" t="n">
        <x:v>1.46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ABC</x:t>
        </x:is>
      </x:c>
      <x:c r="D36" t="n">
        <x:v>12</x:v>
      </x:c>
      <x:c r="E36" t="n">
        <x:v>288</x:v>
      </x:c>
      <x:c r="F36" t="n">
        <x:v>17.22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ABC</x:t>
        </x:is>
      </x:c>
      <x:c r="D37" t="n">
        <x:v>12</x:v>
      </x:c>
      <x:c r="E37" t="n">
        <x:v>240</x:v>
      </x:c>
      <x:c r="F37" t="n">
        <x:v>7.07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ABC</x:t>
        </x:is>
      </x:c>
      <x:c r="D38" t="n">
        <x:v>12</x:v>
      </x:c>
      <x:c r="E38" t="n">
        <x:v>288</x:v>
      </x:c>
      <x:c r="F38" t="n">
        <x:v>5.96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ABC</x:t>
        </x:is>
      </x:c>
      <x:c r="D39" t="n">
        <x:v>12</x:v>
      </x:c>
      <x:c r="E39" t="n">
        <x:v>264</x:v>
      </x:c>
      <x:c r="F39" t="n">
        <x:v>5.13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ABC</x:t>
        </x:is>
      </x:c>
      <x:c r="D40" t="n">
        <x:v>12</x:v>
      </x:c>
      <x:c r="E40" t="n">
        <x:v>288</x:v>
      </x:c>
      <x:c r="F40" t="n">
        <x:v>13.94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ABC</x:t>
        </x:is>
      </x:c>
      <x:c r="D41" t="n">
        <x:v>12</x:v>
      </x:c>
      <x:c r="E41" t="n">
        <x:v>240</x:v>
      </x:c>
      <x:c r="F41" t="n">
        <x:v>9.390000000000001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ABC</x:t>
        </x:is>
      </x:c>
      <x:c r="D42" t="n">
        <x:v>12</x:v>
      </x:c>
      <x:c r="E42" t="n">
        <x:v>288</x:v>
      </x:c>
      <x:c r="F42" t="n">
        <x:v>6.65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ABC</x:t>
        </x:is>
      </x:c>
      <x:c r="D43" t="n">
        <x:v>12</x:v>
      </x:c>
      <x:c r="E43" t="n">
        <x:v>264</x:v>
      </x:c>
      <x:c r="F43" t="n">
        <x:v>5.59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ABC</x:t>
        </x:is>
      </x:c>
      <x:c r="D44" t="n">
        <x:v>12</x:v>
      </x:c>
      <x:c r="E44" t="n">
        <x:v>288</x:v>
      </x:c>
      <x:c r="F44" t="n">
        <x:v>17.14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ABC</x:t>
        </x:is>
      </x:c>
      <x:c r="D45" t="n">
        <x:v>12</x:v>
      </x:c>
      <x:c r="E45" t="n">
        <x:v>240</x:v>
      </x:c>
      <x:c r="F45" t="n">
        <x:v>5.19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ABC</x:t>
        </x:is>
      </x:c>
      <x:c r="D46" t="n">
        <x:v>12</x:v>
      </x:c>
      <x:c r="E46" t="n">
        <x:v>288</x:v>
      </x:c>
      <x:c r="F46" t="n">
        <x:v>4.83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ABC</x:t>
        </x:is>
      </x:c>
      <x:c r="D47" t="n">
        <x:v>12</x:v>
      </x:c>
      <x:c r="E47" t="n">
        <x:v>264</x:v>
      </x:c>
      <x:c r="F47" t="n">
        <x:v>6.33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ABC</x:t>
        </x:is>
      </x:c>
      <x:c r="D48" t="n">
        <x:v>12</x:v>
      </x:c>
      <x:c r="E48" t="n">
        <x:v>288</x:v>
      </x:c>
      <x:c r="F48" t="n">
        <x:v>15.82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ABC</x:t>
        </x:is>
      </x:c>
      <x:c r="D49" t="n">
        <x:v>12</x:v>
      </x:c>
      <x:c r="E49" t="n">
        <x:v>240</x:v>
      </x:c>
      <x:c r="F49" t="n">
        <x:v>4.96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ABC</x:t>
        </x:is>
      </x:c>
      <x:c r="D50" t="n">
        <x:v>12</x:v>
      </x:c>
      <x:c r="E50" t="n">
        <x:v>288</x:v>
      </x:c>
      <x:c r="F50" t="n">
        <x:v>6.33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ABC</x:t>
        </x:is>
      </x:c>
      <x:c r="D51" t="n">
        <x:v>12</x:v>
      </x:c>
      <x:c r="E51" t="n">
        <x:v>264</x:v>
      </x:c>
      <x:c r="F51" t="n">
        <x:v>7.73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ABC</x:t>
        </x:is>
      </x:c>
      <x:c r="D52" t="n">
        <x:v>12</x:v>
      </x:c>
      <x:c r="E52" t="n">
        <x:v>288</x:v>
      </x:c>
      <x:c r="F52" t="n">
        <x:v>17.38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ABC</x:t>
        </x:is>
      </x:c>
      <x:c r="D53" t="n">
        <x:v>12</x:v>
      </x:c>
      <x:c r="E53" t="n">
        <x:v>240</x:v>
      </x:c>
      <x:c r="F53" t="n">
        <x:v>2.26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ABC</x:t>
        </x:is>
      </x:c>
      <x:c r="D54" t="n">
        <x:v>12</x:v>
      </x:c>
      <x:c r="E54" t="n">
        <x:v>288</x:v>
      </x:c>
      <x:c r="F54" t="n">
        <x:v>7.66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ABC</x:t>
        </x:is>
      </x:c>
      <x:c r="D55" t="n">
        <x:v>12</x:v>
      </x:c>
      <x:c r="E55" t="n">
        <x:v>264</x:v>
      </x:c>
      <x:c r="F55" t="n">
        <x:v>10.44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ABC</x:t>
        </x:is>
      </x:c>
      <x:c r="D56" t="n">
        <x:v>12</x:v>
      </x:c>
      <x:c r="E56" t="n">
        <x:v>288</x:v>
      </x:c>
      <x:c r="F56" t="n">
        <x:v>16.64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ABC</x:t>
        </x:is>
      </x:c>
      <x:c r="D57" t="n">
        <x:v>12</x:v>
      </x:c>
      <x:c r="E57" t="n">
        <x:v>240</x:v>
      </x:c>
      <x:c r="F57" t="n">
        <x:v>7.51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ABC</x:t>
        </x:is>
      </x:c>
      <x:c r="D58" t="n">
        <x:v>12</x:v>
      </x:c>
      <x:c r="E58" t="n">
        <x:v>288</x:v>
      </x:c>
      <x:c r="F58" t="n">
        <x:v>1.77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ABC</x:t>
        </x:is>
      </x:c>
      <x:c r="D59" t="n">
        <x:v>12</x:v>
      </x:c>
      <x:c r="E59" t="n">
        <x:v>264</x:v>
      </x:c>
      <x:c r="F59" t="n">
        <x:v>3.96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ABC</x:t>
        </x:is>
      </x:c>
      <x:c r="D60" t="n">
        <x:v>12</x:v>
      </x:c>
      <x:c r="E60" t="n">
        <x:v>288</x:v>
      </x:c>
      <x:c r="F60" t="n">
        <x:v>15.47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ABC</x:t>
        </x:is>
      </x:c>
      <x:c r="D61" t="n">
        <x:v>12</x:v>
      </x:c>
      <x:c r="E61" t="n">
        <x:v>240</x:v>
      </x:c>
      <x:c r="F61" t="n">
        <x:v>9.25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ABC</x:t>
        </x:is>
      </x:c>
      <x:c r="D62" t="n">
        <x:v>12</x:v>
      </x:c>
      <x:c r="E62" t="n">
        <x:v>288</x:v>
      </x:c>
      <x:c r="F62" t="n">
        <x:v>1.67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ABC</x:t>
        </x:is>
      </x:c>
      <x:c r="D63" t="n">
        <x:v>12</x:v>
      </x:c>
      <x:c r="E63" t="n">
        <x:v>264</x:v>
      </x:c>
      <x:c r="F63" t="n">
        <x:v>3.65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ABC</x:t>
        </x:is>
      </x:c>
      <x:c r="D64" t="n">
        <x:v>12</x:v>
      </x:c>
      <x:c r="E64" t="n">
        <x:v>288</x:v>
      </x:c>
      <x:c r="F64" t="n">
        <x:v>13.21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ABC</x:t>
        </x:is>
      </x:c>
      <x:c r="D65" t="n">
        <x:v>12</x:v>
      </x:c>
      <x:c r="E65" t="n">
        <x:v>240</x:v>
      </x:c>
      <x:c r="F65" t="n">
        <x:v>10.03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ABC</x:t>
        </x:is>
      </x:c>
      <x:c r="D66" t="n">
        <x:v>12</x:v>
      </x:c>
      <x:c r="E66" t="n">
        <x:v>288</x:v>
      </x:c>
      <x:c r="F66" t="n">
        <x:v>10.76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ABC</x:t>
        </x:is>
      </x:c>
      <x:c r="D67" t="n">
        <x:v>12</x:v>
      </x:c>
      <x:c r="E67" t="n">
        <x:v>264</x:v>
      </x:c>
      <x:c r="F67" t="n">
        <x:v>9.220000000000001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ABC</x:t>
        </x:is>
      </x:c>
      <x:c r="D68" t="n">
        <x:v>12</x:v>
      </x:c>
      <x:c r="E68" t="n">
        <x:v>288</x:v>
      </x:c>
      <x:c r="F68" t="n">
        <x:v>14.39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ABC</x:t>
        </x:is>
      </x:c>
      <x:c r="D69" t="n">
        <x:v>12</x:v>
      </x:c>
      <x:c r="E69" t="n">
        <x:v>240</x:v>
      </x:c>
      <x:c r="F69" t="n">
        <x:v>1.41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ABC</x:t>
        </x:is>
      </x:c>
      <x:c r="D70" t="n">
        <x:v>12</x:v>
      </x:c>
      <x:c r="E70" t="n">
        <x:v>288</x:v>
      </x:c>
      <x:c r="F70" t="n">
        <x:v>10.49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ABC</x:t>
        </x:is>
      </x:c>
      <x:c r="D71" t="n">
        <x:v>12</x:v>
      </x:c>
      <x:c r="E71" t="n">
        <x:v>264</x:v>
      </x:c>
      <x:c r="F71" t="n">
        <x:v>7.81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ABC</x:t>
        </x:is>
      </x:c>
      <x:c r="D72" t="n">
        <x:v>12</x:v>
      </x:c>
      <x:c r="E72" t="n">
        <x:v>288</x:v>
      </x:c>
      <x:c r="F72" t="n">
        <x:v>13.28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ABC</x:t>
        </x:is>
      </x:c>
      <x:c r="D73" t="n">
        <x:v>12</x:v>
      </x:c>
      <x:c r="E73" t="n">
        <x:v>240</x:v>
      </x:c>
      <x:c r="F73" t="n">
        <x:v>6.25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ABC</x:t>
        </x:is>
      </x:c>
      <x:c r="D74" t="n">
        <x:v>12</x:v>
      </x:c>
      <x:c r="E74" t="n">
        <x:v>288</x:v>
      </x:c>
      <x:c r="F74" t="n">
        <x:v>7.14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ABC</x:t>
        </x:is>
      </x:c>
      <x:c r="D75" t="n">
        <x:v>12</x:v>
      </x:c>
      <x:c r="E75" t="n">
        <x:v>264</x:v>
      </x:c>
      <x:c r="F75" t="n">
        <x:v>3.09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ABC</x:t>
        </x:is>
      </x:c>
      <x:c r="D76" t="n">
        <x:v>12</x:v>
      </x:c>
      <x:c r="E76" t="n">
        <x:v>288</x:v>
      </x:c>
      <x:c r="F76" t="n">
        <x:v>16.48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ABC</x:t>
        </x:is>
      </x:c>
      <x:c r="D77" t="n">
        <x:v>12</x:v>
      </x:c>
      <x:c r="E77" t="n">
        <x:v>240</x:v>
      </x:c>
      <x:c r="F77" t="n">
        <x:v>2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ABC</x:t>
        </x:is>
      </x:c>
      <x:c r="D78" t="n">
        <x:v>12</x:v>
      </x:c>
      <x:c r="E78" t="n">
        <x:v>288</x:v>
      </x:c>
      <x:c r="F78" t="n">
        <x:v>0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ABC</x:t>
        </x:is>
      </x:c>
      <x:c r="D79" t="n">
        <x:v>12</x:v>
      </x:c>
      <x:c r="E79" t="n">
        <x:v>264</x:v>
      </x:c>
      <x:c r="F79" t="n">
        <x:v>1.48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ABC</x:t>
        </x:is>
      </x:c>
      <x:c r="D80" t="n">
        <x:v>12</x:v>
      </x:c>
      <x:c r="E80" t="n">
        <x:v>288</x:v>
      </x:c>
      <x:c r="F80" t="n">
        <x:v>14.82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ABC</x:t>
        </x:is>
      </x:c>
      <x:c r="D81" t="n">
        <x:v>12</x:v>
      </x:c>
      <x:c r="E81" t="n">
        <x:v>240</x:v>
      </x:c>
      <x:c r="F81" t="n">
        <x:v>5.88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ABC</x:t>
        </x:is>
      </x:c>
      <x:c r="D82" t="n">
        <x:v>12</x:v>
      </x:c>
      <x:c r="E82" t="n">
        <x:v>288</x:v>
      </x:c>
      <x:c r="F82" t="n">
        <x:v>3.77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ABC</x:t>
        </x:is>
      </x:c>
      <x:c r="D83" t="n">
        <x:v>12</x:v>
      </x:c>
      <x:c r="E83" t="n">
        <x:v>264</x:v>
      </x:c>
      <x:c r="F83" t="n">
        <x:v>5.45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ABC</x:t>
        </x:is>
      </x:c>
      <x:c r="D84" t="n">
        <x:v>12</x:v>
      </x:c>
      <x:c r="E84" t="n">
        <x:v>288</x:v>
      </x:c>
      <x:c r="F84" t="n">
        <x:v>11.91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ABC</x:t>
        </x:is>
      </x:c>
      <x:c r="D85" t="n">
        <x:v>12</x:v>
      </x:c>
      <x:c r="E85" t="n">
        <x:v>240</x:v>
      </x:c>
      <x:c r="F85" t="n">
        <x:v>6.27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ABC</x:t>
        </x:is>
      </x:c>
      <x:c r="D86" t="n">
        <x:v>12</x:v>
      </x:c>
      <x:c r="E86" t="n">
        <x:v>288</x:v>
      </x:c>
      <x:c r="F86" t="n">
        <x:v>4.34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ABC</x:t>
        </x:is>
      </x:c>
      <x:c r="D87" t="n">
        <x:v>12</x:v>
      </x:c>
      <x:c r="E87" t="n">
        <x:v>264</x:v>
      </x:c>
      <x:c r="F87" t="n">
        <x:v>4.68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ABC</x:t>
        </x:is>
      </x:c>
      <x:c r="D88" t="n">
        <x:v>12</x:v>
      </x:c>
      <x:c r="E88" t="n">
        <x:v>288</x:v>
      </x:c>
      <x:c r="F88" t="n">
        <x:v>14.04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ABC</x:t>
        </x:is>
      </x:c>
      <x:c r="D89" t="n">
        <x:v>12</x:v>
      </x:c>
      <x:c r="E89" t="n">
        <x:v>240</x:v>
      </x:c>
      <x:c r="F89" t="n">
        <x:v>7.61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ABC</x:t>
        </x:is>
      </x:c>
      <x:c r="D90" t="n">
        <x:v>12</x:v>
      </x:c>
      <x:c r="E90" t="n">
        <x:v>288</x:v>
      </x:c>
      <x:c r="F90" t="n">
        <x:v>0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ABC</x:t>
        </x:is>
      </x:c>
      <x:c r="D91" t="n">
        <x:v>12</x:v>
      </x:c>
      <x:c r="E91" t="n">
        <x:v>264</x:v>
      </x:c>
      <x:c r="F91" t="n">
        <x:v>4.89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ABC</x:t>
        </x:is>
      </x:c>
      <x:c r="D92" t="n">
        <x:v>12</x:v>
      </x:c>
      <x:c r="E92" t="n">
        <x:v>288</x:v>
      </x:c>
      <x:c r="F92" t="n">
        <x:v>13.92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ABC</x:t>
        </x:is>
      </x:c>
      <x:c r="D93" t="n">
        <x:v>12</x:v>
      </x:c>
      <x:c r="E93" t="n">
        <x:v>240</x:v>
      </x:c>
      <x:c r="F93" t="n">
        <x:v>5.83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ABC</x:t>
        </x:is>
      </x:c>
      <x:c r="D94" t="n">
        <x:v>12</x:v>
      </x:c>
      <x:c r="E94" t="n">
        <x:v>288</x:v>
      </x:c>
      <x:c r="F94" t="n">
        <x:v>2.99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ABC</x:t>
        </x:is>
      </x:c>
      <x:c r="D95" t="n">
        <x:v>12</x:v>
      </x:c>
      <x:c r="E95" t="n">
        <x:v>264</x:v>
      </x:c>
      <x:c r="F95" t="n">
        <x:v>4.9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ABC</x:t>
        </x:is>
      </x:c>
      <x:c r="D96" t="n">
        <x:v>12</x:v>
      </x:c>
      <x:c r="E96" t="n">
        <x:v>288</x:v>
      </x:c>
      <x:c r="F96" t="n">
        <x:v>14.2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ABC</x:t>
        </x:is>
      </x:c>
      <x:c r="D97" t="n">
        <x:v>12</x:v>
      </x:c>
      <x:c r="E97" t="n">
        <x:v>240</x:v>
      </x:c>
      <x:c r="F97" t="n">
        <x:v>8.050000000000001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ABC</x:t>
        </x:is>
      </x:c>
      <x:c r="D98" t="n">
        <x:v>12</x:v>
      </x:c>
      <x:c r="E98" t="n">
        <x:v>288</x:v>
      </x:c>
      <x:c r="F98" t="n">
        <x:v>4.38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ABC</x:t>
        </x:is>
      </x:c>
      <x:c r="D99" t="n">
        <x:v>12</x:v>
      </x:c>
      <x:c r="E99" t="n">
        <x:v>264</x:v>
      </x:c>
      <x:c r="F99" t="n">
        <x:v>10.03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ABC</x:t>
        </x:is>
      </x:c>
      <x:c r="D100" t="n">
        <x:v>12</x:v>
      </x:c>
      <x:c r="E100" t="n">
        <x:v>288</x:v>
      </x:c>
      <x:c r="F100" t="n">
        <x:v>18.36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ABC</x:t>
        </x:is>
      </x:c>
      <x:c r="D101" t="n">
        <x:v>12</x:v>
      </x:c>
      <x:c r="E101" t="n">
        <x:v>240</x:v>
      </x:c>
      <x:c r="F101" t="n">
        <x:v>9.119999999999999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ABC</x:t>
        </x:is>
      </x:c>
      <x:c r="D102" t="n">
        <x:v>12</x:v>
      </x:c>
      <x:c r="E102" t="n">
        <x:v>288</x:v>
      </x:c>
      <x:c r="F102" t="n">
        <x:v>9.289999999999999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ABC</x:t>
        </x:is>
      </x:c>
      <x:c r="D103" t="n">
        <x:v>12</x:v>
      </x:c>
      <x:c r="E103" t="n">
        <x:v>264</x:v>
      </x:c>
      <x:c r="F103" t="n">
        <x:v>3.23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ABC</x:t>
        </x:is>
      </x:c>
      <x:c r="D104" t="n">
        <x:v>12</x:v>
      </x:c>
      <x:c r="E104" t="n">
        <x:v>288</x:v>
      </x:c>
      <x:c r="F104" t="n">
        <x:v>19.63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ABC</x:t>
        </x:is>
      </x:c>
      <x:c r="D105" t="n">
        <x:v>12</x:v>
      </x:c>
      <x:c r="E105" t="n">
        <x:v>240</x:v>
      </x:c>
      <x:c r="F105" t="n">
        <x:v>3.07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ABC</x:t>
        </x:is>
      </x:c>
      <x:c r="D106" t="n">
        <x:v>12</x:v>
      </x:c>
      <x:c r="E106" t="n">
        <x:v>288</x:v>
      </x:c>
      <x:c r="F106" t="n">
        <x:v>8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ABC</x:t>
        </x:is>
      </x:c>
      <x:c r="D107" t="n">
        <x:v>12</x:v>
      </x:c>
      <x:c r="E107" t="n">
        <x:v>264</x:v>
      </x:c>
      <x:c r="F107" t="n">
        <x:v>3.33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ABC</x:t>
        </x:is>
      </x:c>
      <x:c r="D108" t="n">
        <x:v>12</x:v>
      </x:c>
      <x:c r="E108" t="n">
        <x:v>288</x:v>
      </x:c>
      <x:c r="F108" t="n">
        <x:v>14.94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ABC</x:t>
        </x:is>
      </x:c>
      <x:c r="D109" t="n">
        <x:v>12</x:v>
      </x:c>
      <x:c r="E109" t="n">
        <x:v>240</x:v>
      </x:c>
      <x:c r="F109" t="n">
        <x:v>8.869999999999999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ABC</x:t>
        </x:is>
      </x:c>
      <x:c r="D110" t="n">
        <x:v>12</x:v>
      </x:c>
      <x:c r="E110" t="n">
        <x:v>288</x:v>
      </x:c>
      <x:c r="F110" t="n">
        <x:v>9.640000000000001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ABC</x:t>
        </x:is>
      </x:c>
      <x:c r="D111" t="n">
        <x:v>12</x:v>
      </x:c>
      <x:c r="E111" t="n">
        <x:v>264</x:v>
      </x:c>
      <x:c r="F111" t="n">
        <x:v>8.050000000000001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ABC</x:t>
        </x:is>
      </x:c>
      <x:c r="D112" t="n">
        <x:v>12</x:v>
      </x:c>
      <x:c r="E112" t="n">
        <x:v>288</x:v>
      </x:c>
      <x:c r="F112" t="n">
        <x:v>14.98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ABC</x:t>
        </x:is>
      </x:c>
      <x:c r="D113" t="n">
        <x:v>12</x:v>
      </x:c>
      <x:c r="E113" t="n">
        <x:v>240</x:v>
      </x:c>
      <x:c r="F113" t="n">
        <x:v>0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ABC</x:t>
        </x:is>
      </x:c>
      <x:c r="D114" t="n">
        <x:v>12</x:v>
      </x:c>
      <x:c r="E114" t="n">
        <x:v>288</x:v>
      </x:c>
      <x:c r="F114" t="n">
        <x:v>0.59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ABC</x:t>
        </x:is>
      </x:c>
      <x:c r="D115" t="n">
        <x:v>12</x:v>
      </x:c>
      <x:c r="E115" t="n">
        <x:v>264</x:v>
      </x:c>
      <x:c r="F115" t="n">
        <x:v>1.47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ABC</x:t>
        </x:is>
      </x:c>
      <x:c r="D116" t="n">
        <x:v>12</x:v>
      </x:c>
      <x:c r="E116" t="n">
        <x:v>288</x:v>
      </x:c>
      <x:c r="F116" t="n">
        <x:v>14.16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ABC</x:t>
        </x:is>
      </x:c>
      <x:c r="D117" t="n">
        <x:v>12</x:v>
      </x:c>
      <x:c r="E117" t="n">
        <x:v>240</x:v>
      </x:c>
      <x:c r="F117" t="n">
        <x:v>3.97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ABC</x:t>
        </x:is>
      </x:c>
      <x:c r="D118" t="n">
        <x:v>12</x:v>
      </x:c>
      <x:c r="E118" t="n">
        <x:v>288</x:v>
      </x:c>
      <x:c r="F118" t="n">
        <x:v>4.69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ABC</x:t>
        </x:is>
      </x:c>
      <x:c r="D119" t="n">
        <x:v>12</x:v>
      </x:c>
      <x:c r="E119" t="n">
        <x:v>264</x:v>
      </x:c>
      <x:c r="F119" t="n">
        <x:v>7.6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ABC</x:t>
        </x:is>
      </x:c>
      <x:c r="D120" t="n">
        <x:v>12</x:v>
      </x:c>
      <x:c r="E120" t="n">
        <x:v>288</x:v>
      </x:c>
      <x:c r="F120" t="n">
        <x:v>16.37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ABC</x:t>
        </x:is>
      </x:c>
      <x:c r="D121" t="n">
        <x:v>12</x:v>
      </x:c>
      <x:c r="E121" t="n">
        <x:v>240</x:v>
      </x:c>
      <x:c r="F121" t="n">
        <x:v>3.99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ABC</x:t>
        </x:is>
      </x:c>
      <x:c r="D122" t="n">
        <x:v>12</x:v>
      </x:c>
      <x:c r="E122" t="n">
        <x:v>288</x:v>
      </x:c>
      <x:c r="F122" t="n">
        <x:v>8.25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ABC</x:t>
        </x:is>
      </x:c>
      <x:c r="D123" t="n">
        <x:v>12</x:v>
      </x:c>
      <x:c r="E123" t="n">
        <x:v>264</x:v>
      </x:c>
      <x:c r="F123" t="n">
        <x:v>1.51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ABC</x:t>
        </x:is>
      </x:c>
      <x:c r="D124" t="n">
        <x:v>12</x:v>
      </x:c>
      <x:c r="E124" t="n">
        <x:v>288</x:v>
      </x:c>
      <x:c r="F124" t="n">
        <x:v>11.4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ABC</x:t>
        </x:is>
      </x:c>
      <x:c r="D125" t="n">
        <x:v>12</x:v>
      </x:c>
      <x:c r="E125" t="n">
        <x:v>240</x:v>
      </x:c>
      <x:c r="F125" t="n">
        <x:v>5.84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Custo_MP</x:t>
        </x:is>
      </x:c>
      <x:c r="E1" s="1" t="inlineStr">
        <x:is>
          <x:t xml:space="preserve">Custo_MOD</x:t>
        </x:is>
      </x:c>
      <x:c r="F1" s="1" t="inlineStr">
        <x:is>
          <x:t xml:space="preserve">Custo_Energia</x:t>
        </x:is>
      </x:c>
      <x:c r="G1" s="1" t="inlineStr">
        <x:is>
          <x:t xml:space="preserve">Custo_Manutencao</x:t>
        </x:is>
      </x:c>
      <x:c r="H1" s="1" t="inlineStr">
        <x:is>
          <x:t xml:space="preserve">Custo_Fixo</x:t>
        </x:is>
      </x:c>
      <x:c r="I1" s="1" t="inlineStr">
        <x:is>
          <x:t xml:space="preserve">Receita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4002.79</x:v>
      </x:c>
      <x:c r="E2" t="n">
        <x:v>1359.44</x:v>
      </x:c>
      <x:c r="F2" t="n">
        <x:v>755.24</x:v>
      </x:c>
      <x:c r="G2" t="n">
        <x:v>381.62</x:v>
      </x:c>
      <x:c r="H2" t="n">
        <x:v>1900</x:v>
      </x:c>
      <x:c r="I2" t="n">
        <x:v>11106.52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3779.77</x:v>
      </x:c>
      <x:c r="E3" t="n">
        <x:v>1283.69</x:v>
      </x:c>
      <x:c r="F3" t="n">
        <x:v>713.16</x:v>
      </x:c>
      <x:c r="G3" t="n">
        <x:v>445.6</x:v>
      </x:c>
      <x:c r="H3" t="n">
        <x:v>1900</x:v>
      </x:c>
      <x:c r="I3" t="n">
        <x:v>10487.7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3383.17</x:v>
      </x:c>
      <x:c r="E4" t="n">
        <x:v>1149</x:v>
      </x:c>
      <x:c r="F4" t="n">
        <x:v>638.33</x:v>
      </x:c>
      <x:c r="G4" t="n">
        <x:v>808.23</x:v>
      </x:c>
      <x:c r="H4" t="n">
        <x:v>1900</x:v>
      </x:c>
      <x:c r="I4" t="n">
        <x:v>9387.280000000001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3108.47</x:v>
      </x:c>
      <x:c r="E5" t="n">
        <x:v>1055.71</x:v>
      </x:c>
      <x:c r="F5" t="n">
        <x:v>586.5</x:v>
      </x:c>
      <x:c r="G5" t="n">
        <x:v>421.14</x:v>
      </x:c>
      <x:c r="H5" t="n">
        <x:v>1900</x:v>
      </x:c>
      <x:c r="I5" t="n">
        <x:v>8625.049999999999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3607.37</x:v>
      </x:c>
      <x:c r="E6" t="n">
        <x:v>1225.14</x:v>
      </x:c>
      <x:c r="F6" t="n">
        <x:v>680.64</x:v>
      </x:c>
      <x:c r="G6" t="n">
        <x:v>399.22</x:v>
      </x:c>
      <x:c r="H6" t="n">
        <x:v>1900</x:v>
      </x:c>
      <x:c r="I6" t="n">
        <x:v>10009.35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3490.79</x:v>
      </x:c>
      <x:c r="E7" t="n">
        <x:v>1185.55</x:v>
      </x:c>
      <x:c r="F7" t="n">
        <x:v>658.64</x:v>
      </x:c>
      <x:c r="G7" t="n">
        <x:v>576.75</x:v>
      </x:c>
      <x:c r="H7" t="n">
        <x:v>1900</x:v>
      </x:c>
      <x:c r="I7" t="n">
        <x:v>9685.879999999999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3409.19</x:v>
      </x:c>
      <x:c r="E8" t="n">
        <x:v>1157.84</x:v>
      </x:c>
      <x:c r="F8" t="n">
        <x:v>643.24</x:v>
      </x:c>
      <x:c r="G8" t="n">
        <x:v>762.62</x:v>
      </x:c>
      <x:c r="H8" t="n">
        <x:v>1900</x:v>
      </x:c>
      <x:c r="I8" t="n">
        <x:v>9459.459999999999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3250.39</x:v>
      </x:c>
      <x:c r="E9" t="n">
        <x:v>1103.91</x:v>
      </x:c>
      <x:c r="F9" t="n">
        <x:v>613.28</x:v>
      </x:c>
      <x:c r="G9" t="n">
        <x:v>529.3099999999999</x:v>
      </x:c>
      <x:c r="H9" t="n">
        <x:v>1900</x:v>
      </x:c>
      <x:c r="I9" t="n">
        <x:v>9018.84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3832.65</x:v>
      </x:c>
      <x:c r="E10" t="n">
        <x:v>1301.65</x:v>
      </x:c>
      <x:c r="F10" t="n">
        <x:v>723.14</x:v>
      </x:c>
      <x:c r="G10" t="n">
        <x:v>447.98</x:v>
      </x:c>
      <x:c r="H10" t="n">
        <x:v>1900</x:v>
      </x:c>
      <x:c r="I10" t="n">
        <x:v>10634.43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3767.94</x:v>
      </x:c>
      <x:c r="E11" t="n">
        <x:v>1279.68</x:v>
      </x:c>
      <x:c r="F11" t="n">
        <x:v>710.9299999999999</x:v>
      </x:c>
      <x:c r="G11" t="n">
        <x:v>509.84</x:v>
      </x:c>
      <x:c r="H11" t="n">
        <x:v>1900</x:v>
      </x:c>
      <x:c r="I11" t="n">
        <x:v>10454.87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3399.18</x:v>
      </x:c>
      <x:c r="E12" t="n">
        <x:v>1154.44</x:v>
      </x:c>
      <x:c r="F12" t="n">
        <x:v>641.36</x:v>
      </x:c>
      <x:c r="G12" t="n">
        <x:v>824.1</x:v>
      </x:c>
      <x:c r="H12" t="n">
        <x:v>1900</x:v>
      </x:c>
      <x:c r="I12" t="n">
        <x:v>9431.690000000001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3070.41</x:v>
      </x:c>
      <x:c r="E13" t="n">
        <x:v>1042.78</x:v>
      </x:c>
      <x:c r="F13" t="n">
        <x:v>579.3200000000001</x:v>
      </x:c>
      <x:c r="G13" t="n">
        <x:v>512.41</x:v>
      </x:c>
      <x:c r="H13" t="n">
        <x:v>1900</x:v>
      </x:c>
      <x:c r="I13" t="n">
        <x:v>8519.450000000001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3893.13</x:v>
      </x:c>
      <x:c r="E14" t="n">
        <x:v>1322.19</x:v>
      </x:c>
      <x:c r="F14" t="n">
        <x:v>734.55</x:v>
      </x:c>
      <x:c r="G14" t="n">
        <x:v>521.84</x:v>
      </x:c>
      <x:c r="H14" t="n">
        <x:v>1900</x:v>
      </x:c>
      <x:c r="I14" t="n">
        <x:v>10802.24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3539.33</x:v>
      </x:c>
      <x:c r="E15" t="n">
        <x:v>1202.04</x:v>
      </x:c>
      <x:c r="F15" t="n">
        <x:v>667.8</x:v>
      </x:c>
      <x:c r="G15" t="n">
        <x:v>493.1</x:v>
      </x:c>
      <x:c r="H15" t="n">
        <x:v>1900</x:v>
      </x:c>
      <x:c r="I15" t="n">
        <x:v>9820.559999999999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3565.59</x:v>
      </x:c>
      <x:c r="E16" t="n">
        <x:v>1210.96</x:v>
      </x:c>
      <x:c r="F16" t="n">
        <x:v>672.75</x:v>
      </x:c>
      <x:c r="G16" t="n">
        <x:v>727.49</x:v>
      </x:c>
      <x:c r="H16" t="n">
        <x:v>1900</x:v>
      </x:c>
      <x:c r="I16" t="n">
        <x:v>9893.43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3165.74</x:v>
      </x:c>
      <x:c r="E17" t="n">
        <x:v>1075.16</x:v>
      </x:c>
      <x:c r="F17" t="n">
        <x:v>597.3099999999999</x:v>
      </x:c>
      <x:c r="G17" t="n">
        <x:v>361.24</x:v>
      </x:c>
      <x:c r="H17" t="n">
        <x:v>1900</x:v>
      </x:c>
      <x:c r="I17" t="n">
        <x:v>8783.959999999999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4127.15</x:v>
      </x:c>
      <x:c r="E18" t="n">
        <x:v>1401.67</x:v>
      </x:c>
      <x:c r="F18" t="n">
        <x:v>778.71</x:v>
      </x:c>
      <x:c r="G18" t="n">
        <x:v>354.33</x:v>
      </x:c>
      <x:c r="H18" t="n">
        <x:v>1900</x:v>
      </x:c>
      <x:c r="I18" t="n">
        <x:v>11451.59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3832.01</x:v>
      </x:c>
      <x:c r="E19" t="n">
        <x:v>1301.44</x:v>
      </x:c>
      <x:c r="F19" t="n">
        <x:v>723.02</x:v>
      </x:c>
      <x:c r="G19" t="n">
        <x:v>413.37</x:v>
      </x:c>
      <x:c r="H19" t="n">
        <x:v>1900</x:v>
      </x:c>
      <x:c r="I19" t="n">
        <x:v>10632.65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3402.28</x:v>
      </x:c>
      <x:c r="E20" t="n">
        <x:v>1155.49</x:v>
      </x:c>
      <x:c r="F20" t="n">
        <x:v>641.9400000000001</x:v>
      </x:c>
      <x:c r="G20" t="n">
        <x:v>829.8200000000001</x:v>
      </x:c>
      <x:c r="H20" t="n">
        <x:v>1900</x:v>
      </x:c>
      <x:c r="I20" t="n">
        <x:v>9440.299999999999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3001.97</x:v>
      </x:c>
      <x:c r="E21" t="n">
        <x:v>1019.54</x:v>
      </x:c>
      <x:c r="F21" t="n">
        <x:v>566.41</x:v>
      </x:c>
      <x:c r="G21" t="n">
        <x:v>548.3</x:v>
      </x:c>
      <x:c r="H21" t="n">
        <x:v>1900</x:v>
      </x:c>
      <x:c r="I21" t="n">
        <x:v>8329.540000000001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3952.85</x:v>
      </x:c>
      <x:c r="E22" t="n">
        <x:v>1342.48</x:v>
      </x:c>
      <x:c r="F22" t="n">
        <x:v>745.8200000000001</x:v>
      </x:c>
      <x:c r="G22" t="n">
        <x:v>463.76</x:v>
      </x:c>
      <x:c r="H22" t="n">
        <x:v>1900</x:v>
      </x:c>
      <x:c r="I22" t="n">
        <x:v>10967.94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3652.17</x:v>
      </x:c>
      <x:c r="E23" t="n">
        <x:v>1240.36</x:v>
      </x:c>
      <x:c r="F23" t="n">
        <x:v>689.09</x:v>
      </x:c>
      <x:c r="G23" t="n">
        <x:v>481.53</x:v>
      </x:c>
      <x:c r="H23" t="n">
        <x:v>1900</x:v>
      </x:c>
      <x:c r="I23" t="n">
        <x:v>10133.64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3378.91</x:v>
      </x:c>
      <x:c r="E24" t="n">
        <x:v>1147.56</x:v>
      </x:c>
      <x:c r="F24" t="n">
        <x:v>637.53</x:v>
      </x:c>
      <x:c r="G24" t="n">
        <x:v>705.17</x:v>
      </x:c>
      <x:c r="H24" t="n">
        <x:v>1900</x:v>
      </x:c>
      <x:c r="I24" t="n">
        <x:v>9375.450000000001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3241.9</x:v>
      </x:c>
      <x:c r="E25" t="n">
        <x:v>1101.02</x:v>
      </x:c>
      <x:c r="F25" t="n">
        <x:v>611.6799999999999</x:v>
      </x:c>
      <x:c r="G25" t="n">
        <x:v>494.52</x:v>
      </x:c>
      <x:c r="H25" t="n">
        <x:v>1900</x:v>
      </x:c>
      <x:c r="I25" t="n">
        <x:v>8995.27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3766.82</x:v>
      </x:c>
      <x:c r="E26" t="n">
        <x:v>1279.3</x:v>
      </x:c>
      <x:c r="F26" t="n">
        <x:v>710.72</x:v>
      </x:c>
      <x:c r="G26" t="n">
        <x:v>340.07</x:v>
      </x:c>
      <x:c r="H26" t="n">
        <x:v>1900</x:v>
      </x:c>
      <x:c r="I26" t="n">
        <x:v>10451.78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3668.97</x:v>
      </x:c>
      <x:c r="E27" t="n">
        <x:v>1246.07</x:v>
      </x:c>
      <x:c r="F27" t="n">
        <x:v>692.26</x:v>
      </x:c>
      <x:c r="G27" t="n">
        <x:v>477.74</x:v>
      </x:c>
      <x:c r="H27" t="n">
        <x:v>1900</x:v>
      </x:c>
      <x:c r="I27" t="n">
        <x:v>10180.28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3490.55</x:v>
      </x:c>
      <x:c r="E28" t="n">
        <x:v>1185.47</x:v>
      </x:c>
      <x:c r="F28" t="n">
        <x:v>658.59</x:v>
      </x:c>
      <x:c r="G28" t="n">
        <x:v>695.3200000000001</x:v>
      </x:c>
      <x:c r="H28" t="n">
        <x:v>1900</x:v>
      </x:c>
      <x:c r="I28" t="n">
        <x:v>9685.200000000001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3333.84</x:v>
      </x:c>
      <x:c r="E29" t="n">
        <x:v>1132.25</x:v>
      </x:c>
      <x:c r="F29" t="n">
        <x:v>629.03</x:v>
      </x:c>
      <x:c r="G29" t="n">
        <x:v>480.45</x:v>
      </x:c>
      <x:c r="H29" t="n">
        <x:v>1900</x:v>
      </x:c>
      <x:c r="I29" t="n">
        <x:v>9250.4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3980.87</x:v>
      </x:c>
      <x:c r="E30" t="n">
        <x:v>1351.99</x:v>
      </x:c>
      <x:c r="F30" t="n">
        <x:v>751.11</x:v>
      </x:c>
      <x:c r="G30" t="n">
        <x:v>379.45</x:v>
      </x:c>
      <x:c r="H30" t="n">
        <x:v>1900</x:v>
      </x:c>
      <x:c r="I30" t="n">
        <x:v>11045.69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3666.87</x:v>
      </x:c>
      <x:c r="E31" t="n">
        <x:v>1245.35</x:v>
      </x:c>
      <x:c r="F31" t="n">
        <x:v>691.86</x:v>
      </x:c>
      <x:c r="G31" t="n">
        <x:v>386.21</x:v>
      </x:c>
      <x:c r="H31" t="n">
        <x:v>1900</x:v>
      </x:c>
      <x:c r="I31" t="n">
        <x:v>10174.45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3640.65</x:v>
      </x:c>
      <x:c r="E32" t="n">
        <x:v>1236.45</x:v>
      </x:c>
      <x:c r="F32" t="n">
        <x:v>686.92</x:v>
      </x:c>
      <x:c r="G32" t="n">
        <x:v>818.83</x:v>
      </x:c>
      <x:c r="H32" t="n">
        <x:v>1900</x:v>
      </x:c>
      <x:c r="I32" t="n">
        <x:v>10101.7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3456.18</x:v>
      </x:c>
      <x:c r="E33" t="n">
        <x:v>1173.8</x:v>
      </x:c>
      <x:c r="F33" t="n">
        <x:v>652.11</x:v>
      </x:c>
      <x:c r="G33" t="n">
        <x:v>588.14</x:v>
      </x:c>
      <x:c r="H33" t="n">
        <x:v>1900</x:v>
      </x:c>
      <x:c r="I33" t="n">
        <x:v>9589.85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3859</x:v>
      </x:c>
      <x:c r="E34" t="n">
        <x:v>1310.6</x:v>
      </x:c>
      <x:c r="F34" t="n">
        <x:v>728.11</x:v>
      </x:c>
      <x:c r="G34" t="n">
        <x:v>323.83</x:v>
      </x:c>
      <x:c r="H34" t="n">
        <x:v>1900</x:v>
      </x:c>
      <x:c r="I34" t="n">
        <x:v>10707.54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3486.6</x:v>
      </x:c>
      <x:c r="E35" t="n">
        <x:v>1184.13</x:v>
      </x:c>
      <x:c r="F35" t="n">
        <x:v>657.85</x:v>
      </x:c>
      <x:c r="G35" t="n">
        <x:v>497.46</x:v>
      </x:c>
      <x:c r="H35" t="n">
        <x:v>1900</x:v>
      </x:c>
      <x:c r="I35" t="n">
        <x:v>9674.25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3344.84</x:v>
      </x:c>
      <x:c r="E36" t="n">
        <x:v>1135.98</x:v>
      </x:c>
      <x:c r="F36" t="n">
        <x:v>631.1</x:v>
      </x:c>
      <x:c r="G36" t="n">
        <x:v>625.8099999999999</x:v>
      </x:c>
      <x:c r="H36" t="n">
        <x:v>1900</x:v>
      </x:c>
      <x:c r="I36" t="n">
        <x:v>9280.9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3148.24</x:v>
      </x:c>
      <x:c r="E37" t="n">
        <x:v>1069.21</x:v>
      </x:c>
      <x:c r="F37" t="n">
        <x:v>594.01</x:v>
      </x:c>
      <x:c r="G37" t="n">
        <x:v>442.07</x:v>
      </x:c>
      <x:c r="H37" t="n">
        <x:v>1900</x:v>
      </x:c>
      <x:c r="I37" t="n">
        <x:v>8735.4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4253.08</x:v>
      </x:c>
      <x:c r="E38" t="n">
        <x:v>1444.44</x:v>
      </x:c>
      <x:c r="F38" t="n">
        <x:v>802.47</x:v>
      </x:c>
      <x:c r="G38" t="n">
        <x:v>294.36</x:v>
      </x:c>
      <x:c r="H38" t="n">
        <x:v>1900</x:v>
      </x:c>
      <x:c r="I38" t="n">
        <x:v>11800.99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3479.23</x:v>
      </x:c>
      <x:c r="E39" t="n">
        <x:v>1181.62</x:v>
      </x:c>
      <x:c r="F39" t="n">
        <x:v>656.46</x:v>
      </x:c>
      <x:c r="G39" t="n">
        <x:v>551.97</x:v>
      </x:c>
      <x:c r="H39" t="n">
        <x:v>1900</x:v>
      </x:c>
      <x:c r="I39" t="n">
        <x:v>9653.799999999999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3601.89</x:v>
      </x:c>
      <x:c r="E40" t="n">
        <x:v>1223.28</x:v>
      </x:c>
      <x:c r="F40" t="n">
        <x:v>679.6</x:v>
      </x:c>
      <x:c r="G40" t="n">
        <x:v>582.37</x:v>
      </x:c>
      <x:c r="H40" t="n">
        <x:v>1900</x:v>
      </x:c>
      <x:c r="I40" t="n">
        <x:v>9994.129999999999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3404.84</x:v>
      </x:c>
      <x:c r="E41" t="n">
        <x:v>1156.36</x:v>
      </x:c>
      <x:c r="F41" t="n">
        <x:v>642.42</x:v>
      </x:c>
      <x:c r="G41" t="n">
        <x:v>523.6799999999999</x:v>
      </x:c>
      <x:c r="H41" t="n">
        <x:v>1900</x:v>
      </x:c>
      <x:c r="I41" t="n">
        <x:v>9447.389999999999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3991.29</x:v>
      </x:c>
      <x:c r="E42" t="n">
        <x:v>1355.53</x:v>
      </x:c>
      <x:c r="F42" t="n">
        <x:v>753.0700000000001</x:v>
      </x:c>
      <x:c r="G42" t="n">
        <x:v>398.83</x:v>
      </x:c>
      <x:c r="H42" t="n">
        <x:v>1900</x:v>
      </x:c>
      <x:c r="I42" t="n">
        <x:v>11074.6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3634.5</x:v>
      </x:c>
      <x:c r="E43" t="n">
        <x:v>1234.36</x:v>
      </x:c>
      <x:c r="F43" t="n">
        <x:v>685.75</x:v>
      </x:c>
      <x:c r="G43" t="n">
        <x:v>440.63</x:v>
      </x:c>
      <x:c r="H43" t="n">
        <x:v>1900</x:v>
      </x:c>
      <x:c r="I43" t="n">
        <x:v>10084.62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3316.47</x:v>
      </x:c>
      <x:c r="E44" t="n">
        <x:v>1126.35</x:v>
      </x:c>
      <x:c r="F44" t="n">
        <x:v>625.75</x:v>
      </x:c>
      <x:c r="G44" t="n">
        <x:v>888.3099999999999</x:v>
      </x:c>
      <x:c r="H44" t="n">
        <x:v>1900</x:v>
      </x:c>
      <x:c r="I44" t="n">
        <x:v>9202.18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3080.66</x:v>
      </x:c>
      <x:c r="E45" t="n">
        <x:v>1046.26</x:v>
      </x:c>
      <x:c r="F45" t="n">
        <x:v>581.26</x:v>
      </x:c>
      <x:c r="G45" t="n">
        <x:v>515.22</x:v>
      </x:c>
      <x:c r="H45" t="n">
        <x:v>1900</x:v>
      </x:c>
      <x:c r="I45" t="n">
        <x:v>8547.889999999999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4087.57</x:v>
      </x:c>
      <x:c r="E46" t="n">
        <x:v>1388.23</x:v>
      </x:c>
      <x:c r="F46" t="n">
        <x:v>771.24</x:v>
      </x:c>
      <x:c r="G46" t="n">
        <x:v>429.09</x:v>
      </x:c>
      <x:c r="H46" t="n">
        <x:v>1900</x:v>
      </x:c>
      <x:c r="I46" t="n">
        <x:v>11341.76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3665.25</x:v>
      </x:c>
      <x:c r="E47" t="n">
        <x:v>1244.8</x:v>
      </x:c>
      <x:c r="F47" t="n">
        <x:v>691.5599999999999</x:v>
      </x:c>
      <x:c r="G47" t="n">
        <x:v>569.22</x:v>
      </x:c>
      <x:c r="H47" t="n">
        <x:v>1900</x:v>
      </x:c>
      <x:c r="I47" t="n">
        <x:v>10169.95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3474.59</x:v>
      </x:c>
      <x:c r="E48" t="n">
        <x:v>1180.05</x:v>
      </x:c>
      <x:c r="F48" t="n">
        <x:v>655.58</x:v>
      </x:c>
      <x:c r="G48" t="n">
        <x:v>738.12</x:v>
      </x:c>
      <x:c r="H48" t="n">
        <x:v>1900</x:v>
      </x:c>
      <x:c r="I48" t="n">
        <x:v>9640.93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3190.58</x:v>
      </x:c>
      <x:c r="E49" t="n">
        <x:v>1083.59</x:v>
      </x:c>
      <x:c r="F49" t="n">
        <x:v>602</x:v>
      </x:c>
      <x:c r="G49" t="n">
        <x:v>645.01</x:v>
      </x:c>
      <x:c r="H49" t="n">
        <x:v>1900</x:v>
      </x:c>
      <x:c r="I49" t="n">
        <x:v>8852.9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3826.98</x:v>
      </x:c>
      <x:c r="E50" t="n">
        <x:v>1299.73</x:v>
      </x:c>
      <x:c r="F50" t="n">
        <x:v>722.0700000000001</x:v>
      </x:c>
      <x:c r="G50" t="n">
        <x:v>471.15</x:v>
      </x:c>
      <x:c r="H50" t="n">
        <x:v>1900</x:v>
      </x:c>
      <x:c r="I50" t="n">
        <x:v>10618.71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3488.83</x:v>
      </x:c>
      <x:c r="E51" t="n">
        <x:v>1184.88</x:v>
      </x:c>
      <x:c r="F51" t="n">
        <x:v>658.27</x:v>
      </x:c>
      <x:c r="G51" t="n">
        <x:v>427.36</x:v>
      </x:c>
      <x:c r="H51" t="n">
        <x:v>1900</x:v>
      </x:c>
      <x:c r="I51" t="n">
        <x:v>9680.43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3602.05</x:v>
      </x:c>
      <x:c r="E52" t="n">
        <x:v>1223.34</x:v>
      </x:c>
      <x:c r="F52" t="n">
        <x:v>679.63</x:v>
      </x:c>
      <x:c r="G52" t="n">
        <x:v>707.08</x:v>
      </x:c>
      <x:c r="H52" t="n">
        <x:v>1900</x:v>
      </x:c>
      <x:c r="I52" t="n">
        <x:v>9994.58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3486.57</x:v>
      </x:c>
      <x:c r="E53" t="n">
        <x:v>1184.12</x:v>
      </x:c>
      <x:c r="F53" t="n">
        <x:v>657.84</x:v>
      </x:c>
      <x:c r="G53" t="n">
        <x:v>504.18</x:v>
      </x:c>
      <x:c r="H53" t="n">
        <x:v>1900</x:v>
      </x:c>
      <x:c r="I53" t="n">
        <x:v>9674.17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3983.72</x:v>
      </x:c>
      <x:c r="E54" t="n">
        <x:v>1352.96</x:v>
      </x:c>
      <x:c r="F54" t="n">
        <x:v>751.64</x:v>
      </x:c>
      <x:c r="G54" t="n">
        <x:v>332.37</x:v>
      </x:c>
      <x:c r="H54" t="n">
        <x:v>1900</x:v>
      </x:c>
      <x:c r="I54" t="n">
        <x:v>11053.6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3883.34</x:v>
      </x:c>
      <x:c r="E55" t="n">
        <x:v>1318.87</x:v>
      </x:c>
      <x:c r="F55" t="n">
        <x:v>732.71</x:v>
      </x:c>
      <x:c r="G55" t="n">
        <x:v>447.75</x:v>
      </x:c>
      <x:c r="H55" t="n">
        <x:v>1900</x:v>
      </x:c>
      <x:c r="I55" t="n">
        <x:v>10775.08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3462.25</x:v>
      </x:c>
      <x:c r="E56" t="n">
        <x:v>1175.86</x:v>
      </x:c>
      <x:c r="F56" t="n">
        <x:v>653.26</x:v>
      </x:c>
      <x:c r="G56" t="n">
        <x:v>687.28</x:v>
      </x:c>
      <x:c r="H56" t="n">
        <x:v>1900</x:v>
      </x:c>
      <x:c r="I56" t="n">
        <x:v>9606.700000000001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3312.61</x:v>
      </x:c>
      <x:c r="E57" t="n">
        <x:v>1125.04</x:v>
      </x:c>
      <x:c r="F57" t="n">
        <x:v>625.02</x:v>
      </x:c>
      <x:c r="G57" t="n">
        <x:v>516.87</x:v>
      </x:c>
      <x:c r="H57" t="n">
        <x:v>1900</x:v>
      </x:c>
      <x:c r="I57" t="n">
        <x:v>9191.469999999999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4264.52</x:v>
      </x:c>
      <x:c r="E58" t="n">
        <x:v>1448.33</x:v>
      </x:c>
      <x:c r="F58" t="n">
        <x:v>804.63</x:v>
      </x:c>
      <x:c r="G58" t="n">
        <x:v>407.35</x:v>
      </x:c>
      <x:c r="H58" t="n">
        <x:v>1900</x:v>
      </x:c>
      <x:c r="I58" t="n">
        <x:v>11832.74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3871.65</x:v>
      </x:c>
      <x:c r="E59" t="n">
        <x:v>1314.9</x:v>
      </x:c>
      <x:c r="F59" t="n">
        <x:v>730.5</x:v>
      </x:c>
      <x:c r="G59" t="n">
        <x:v>482.3</x:v>
      </x:c>
      <x:c r="H59" t="n">
        <x:v>1900</x:v>
      </x:c>
      <x:c r="I59" t="n">
        <x:v>10742.66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3840.31</x:v>
      </x:c>
      <x:c r="E60" t="n">
        <x:v>1304.26</x:v>
      </x:c>
      <x:c r="F60" t="n">
        <x:v>724.59</x:v>
      </x:c>
      <x:c r="G60" t="n">
        <x:v>770.92</x:v>
      </x:c>
      <x:c r="H60" t="n">
        <x:v>1900</x:v>
      </x:c>
      <x:c r="I60" t="n">
        <x:v>10655.7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3213.28</x:v>
      </x:c>
      <x:c r="E61" t="n">
        <x:v>1091.3</x:v>
      </x:c>
      <x:c r="F61" t="n">
        <x:v>606.28</x:v>
      </x:c>
      <x:c r="G61" t="n">
        <x:v>430.23</x:v>
      </x:c>
      <x:c r="H61" t="n">
        <x:v>1900</x:v>
      </x:c>
      <x:c r="I61" t="n">
        <x:v>8915.879999999999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3971.29</x:v>
      </x:c>
      <x:c r="E62" t="n">
        <x:v>1348.74</x:v>
      </x:c>
      <x:c r="F62" t="n">
        <x:v>749.3</x:v>
      </x:c>
      <x:c r="G62" t="n">
        <x:v>392.7</x:v>
      </x:c>
      <x:c r="H62" t="n">
        <x:v>1900</x:v>
      </x:c>
      <x:c r="I62" t="n">
        <x:v>11019.11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3756.56</x:v>
      </x:c>
      <x:c r="E63" t="n">
        <x:v>1275.81</x:v>
      </x:c>
      <x:c r="F63" t="n">
        <x:v>708.79</x:v>
      </x:c>
      <x:c r="G63" t="n">
        <x:v>510.88</x:v>
      </x:c>
      <x:c r="H63" t="n">
        <x:v>1900</x:v>
      </x:c>
      <x:c r="I63" t="n">
        <x:v>10423.32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3551.97</x:v>
      </x:c>
      <x:c r="E64" t="n">
        <x:v>1206.33</x:v>
      </x:c>
      <x:c r="F64" t="n">
        <x:v>670.1799999999999</x:v>
      </x:c>
      <x:c r="G64" t="n">
        <x:v>724.59</x:v>
      </x:c>
      <x:c r="H64" t="n">
        <x:v>1900</x:v>
      </x:c>
      <x:c r="I64" t="n">
        <x:v>9855.629999999999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3447.16</x:v>
      </x:c>
      <x:c r="E65" t="n">
        <x:v>1170.73</x:v>
      </x:c>
      <x:c r="F65" t="n">
        <x:v>650.41</x:v>
      </x:c>
      <x:c r="G65" t="n">
        <x:v>371.87</x:v>
      </x:c>
      <x:c r="H65" t="n">
        <x:v>1900</x:v>
      </x:c>
      <x:c r="I65" t="n">
        <x:v>9564.82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3885.93</x:v>
      </x:c>
      <x:c r="E66" t="n">
        <x:v>1319.75</x:v>
      </x:c>
      <x:c r="F66" t="n">
        <x:v>733.2</x:v>
      </x:c>
      <x:c r="G66" t="n">
        <x:v>315.14</x:v>
      </x:c>
      <x:c r="H66" t="n">
        <x:v>1900</x:v>
      </x:c>
      <x:c r="I66" t="n">
        <x:v>10782.28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3638.9</x:v>
      </x:c>
      <x:c r="E67" t="n">
        <x:v>1235.85</x:v>
      </x:c>
      <x:c r="F67" t="n">
        <x:v>686.59</x:v>
      </x:c>
      <x:c r="G67" t="n">
        <x:v>363.63</x:v>
      </x:c>
      <x:c r="H67" t="n">
        <x:v>1900</x:v>
      </x:c>
      <x:c r="I67" t="n">
        <x:v>10096.85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3386.46</x:v>
      </x:c>
      <x:c r="E68" t="n">
        <x:v>1150.12</x:v>
      </x:c>
      <x:c r="F68" t="n">
        <x:v>638.96</x:v>
      </x:c>
      <x:c r="G68" t="n">
        <x:v>714.88</x:v>
      </x:c>
      <x:c r="H68" t="n">
        <x:v>1900</x:v>
      </x:c>
      <x:c r="I68" t="n">
        <x:v>9396.4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3201.27</x:v>
      </x:c>
      <x:c r="E69" t="n">
        <x:v>1087.23</x:v>
      </x:c>
      <x:c r="F69" t="n">
        <x:v>604.01</x:v>
      </x:c>
      <x:c r="G69" t="n">
        <x:v>439.9</x:v>
      </x:c>
      <x:c r="H69" t="n">
        <x:v>1900</x:v>
      </x:c>
      <x:c r="I69" t="n">
        <x:v>8882.559999999999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3889.01</x:v>
      </x:c>
      <x:c r="E70" t="n">
        <x:v>1320.8</x:v>
      </x:c>
      <x:c r="F70" t="n">
        <x:v>733.78</x:v>
      </x:c>
      <x:c r="G70" t="n">
        <x:v>326.78</x:v>
      </x:c>
      <x:c r="H70" t="n">
        <x:v>1900</x:v>
      </x:c>
      <x:c r="I70" t="n">
        <x:v>10790.83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3649.77</x:v>
      </x:c>
      <x:c r="E71" t="n">
        <x:v>1239.54</x:v>
      </x:c>
      <x:c r="F71" t="n">
        <x:v>688.64</x:v>
      </x:c>
      <x:c r="G71" t="n">
        <x:v>476.27</x:v>
      </x:c>
      <x:c r="H71" t="n">
        <x:v>1900</x:v>
      </x:c>
      <x:c r="I71" t="n">
        <x:v>10126.99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3342.52</x:v>
      </x:c>
      <x:c r="E72" t="n">
        <x:v>1135.2</x:v>
      </x:c>
      <x:c r="F72" t="n">
        <x:v>630.66</x:v>
      </x:c>
      <x:c r="G72" t="n">
        <x:v>746.04</x:v>
      </x:c>
      <x:c r="H72" t="n">
        <x:v>1900</x:v>
      </x:c>
      <x:c r="I72" t="n">
        <x:v>9274.49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3125.82</x:v>
      </x:c>
      <x:c r="E73" t="n">
        <x:v>1061.6</x:v>
      </x:c>
      <x:c r="F73" t="n">
        <x:v>589.78</x:v>
      </x:c>
      <x:c r="G73" t="n">
        <x:v>570.8200000000001</x:v>
      </x:c>
      <x:c r="H73" t="n">
        <x:v>1900</x:v>
      </x:c>
      <x:c r="I73" t="n">
        <x:v>8673.190000000001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3908.99</x:v>
      </x:c>
      <x:c r="E74" t="n">
        <x:v>1327.58</x:v>
      </x:c>
      <x:c r="F74" t="n">
        <x:v>737.54</x:v>
      </x:c>
      <x:c r="G74" t="n">
        <x:v>318.13</x:v>
      </x:c>
      <x:c r="H74" t="n">
        <x:v>1900</x:v>
      </x:c>
      <x:c r="I74" t="n">
        <x:v>10846.25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3519.3</x:v>
      </x:c>
      <x:c r="E75" t="n">
        <x:v>1195.23</x:v>
      </x:c>
      <x:c r="F75" t="n">
        <x:v>664.02</x:v>
      </x:c>
      <x:c r="G75" t="n">
        <x:v>539.5</x:v>
      </x:c>
      <x:c r="H75" t="n">
        <x:v>1900</x:v>
      </x:c>
      <x:c r="I75" t="n">
        <x:v>9764.98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3134.59</x:v>
      </x:c>
      <x:c r="E76" t="n">
        <x:v>1064.58</x:v>
      </x:c>
      <x:c r="F76" t="n">
        <x:v>591.4299999999999</x:v>
      </x:c>
      <x:c r="G76" t="n">
        <x:v>899.17</x:v>
      </x:c>
      <x:c r="H76" t="n">
        <x:v>1900</x:v>
      </x:c>
      <x:c r="I76" t="n">
        <x:v>8697.52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3527.25</x:v>
      </x:c>
      <x:c r="E77" t="n">
        <x:v>1197.93</x:v>
      </x:c>
      <x:c r="F77" t="n">
        <x:v>665.52</x:v>
      </x:c>
      <x:c r="G77" t="n">
        <x:v>438.96</x:v>
      </x:c>
      <x:c r="H77" t="n">
        <x:v>1900</x:v>
      </x:c>
      <x:c r="I77" t="n">
        <x:v>9787.030000000001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4156.44</x:v>
      </x:c>
      <x:c r="E78" t="n">
        <x:v>1411.62</x:v>
      </x:c>
      <x:c r="F78" t="n">
        <x:v>784.23</x:v>
      </x:c>
      <x:c r="G78" t="n">
        <x:v>328.02</x:v>
      </x:c>
      <x:c r="H78" t="n">
        <x:v>1900</x:v>
      </x:c>
      <x:c r="I78" t="n">
        <x:v>11532.86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3621.24</x:v>
      </x:c>
      <x:c r="E79" t="n">
        <x:v>1229.85</x:v>
      </x:c>
      <x:c r="F79" t="n">
        <x:v>683.25</x:v>
      </x:c>
      <x:c r="G79" t="n">
        <x:v>575.15</x:v>
      </x:c>
      <x:c r="H79" t="n">
        <x:v>1900</x:v>
      </x:c>
      <x:c r="I79" t="n">
        <x:v>10047.83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3551.26</x:v>
      </x:c>
      <x:c r="E80" t="n">
        <x:v>1206.09</x:v>
      </x:c>
      <x:c r="F80" t="n">
        <x:v>670.05</x:v>
      </x:c>
      <x:c r="G80" t="n">
        <x:v>818.01</x:v>
      </x:c>
      <x:c r="H80" t="n">
        <x:v>1900</x:v>
      </x:c>
      <x:c r="I80" t="n">
        <x:v>9853.67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3303.53</x:v>
      </x:c>
      <x:c r="E81" t="n">
        <x:v>1121.95</x:v>
      </x:c>
      <x:c r="F81" t="n">
        <x:v>623.3099999999999</x:v>
      </x:c>
      <x:c r="G81" t="n">
        <x:v>512.6799999999999</x:v>
      </x:c>
      <x:c r="H81" t="n">
        <x:v>1900</x:v>
      </x:c>
      <x:c r="I81" t="n">
        <x:v>9166.280000000001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4353.39</x:v>
      </x:c>
      <x:c r="E82" t="n">
        <x:v>1478.51</x:v>
      </x:c>
      <x:c r="F82" t="n">
        <x:v>821.39</x:v>
      </x:c>
      <x:c r="G82" t="n">
        <x:v>392.31</x:v>
      </x:c>
      <x:c r="H82" t="n">
        <x:v>1900</x:v>
      </x:c>
      <x:c r="I82" t="n">
        <x:v>12079.32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3562.46</x:v>
      </x:c>
      <x:c r="E83" t="n">
        <x:v>1209.89</x:v>
      </x:c>
      <x:c r="F83" t="n">
        <x:v>672.16</x:v>
      </x:c>
      <x:c r="G83" t="n">
        <x:v>541.28</x:v>
      </x:c>
      <x:c r="H83" t="n">
        <x:v>1900</x:v>
      </x:c>
      <x:c r="I83" t="n">
        <x:v>9884.74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3291.23</x:v>
      </x:c>
      <x:c r="E84" t="n">
        <x:v>1117.77</x:v>
      </x:c>
      <x:c r="F84" t="n">
        <x:v>620.99</x:v>
      </x:c>
      <x:c r="G84" t="n">
        <x:v>735.49</x:v>
      </x:c>
      <x:c r="H84" t="n">
        <x:v>1900</x:v>
      </x:c>
      <x:c r="I84" t="n">
        <x:v>9132.139999999999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3176.87</x:v>
      </x:c>
      <x:c r="E85" t="n">
        <x:v>1078.94</x:v>
      </x:c>
      <x:c r="F85" t="n">
        <x:v>599.41</x:v>
      </x:c>
      <x:c r="G85" t="n">
        <x:v>471.91</x:v>
      </x:c>
      <x:c r="H85" t="n">
        <x:v>1900</x:v>
      </x:c>
      <x:c r="I85" t="n">
        <x:v>8814.860000000001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3965.62</x:v>
      </x:c>
      <x:c r="E86" t="n">
        <x:v>1346.81</x:v>
      </x:c>
      <x:c r="F86" t="n">
        <x:v>748.23</x:v>
      </x:c>
      <x:c r="G86" t="n">
        <x:v>369.9</x:v>
      </x:c>
      <x:c r="H86" t="n">
        <x:v>1900</x:v>
      </x:c>
      <x:c r="I86" t="n">
        <x:v>11003.38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3559.56</x:v>
      </x:c>
      <x:c r="E87" t="n">
        <x:v>1208.91</x:v>
      </x:c>
      <x:c r="F87" t="n">
        <x:v>671.61</x:v>
      </x:c>
      <x:c r="G87" t="n">
        <x:v>512.38</x:v>
      </x:c>
      <x:c r="H87" t="n">
        <x:v>1900</x:v>
      </x:c>
      <x:c r="I87" t="n">
        <x:v>9876.68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3328.65</x:v>
      </x:c>
      <x:c r="E88" t="n">
        <x:v>1130.48</x:v>
      </x:c>
      <x:c r="F88" t="n">
        <x:v>628.05</x:v>
      </x:c>
      <x:c r="G88" t="n">
        <x:v>789.92</x:v>
      </x:c>
      <x:c r="H88" t="n">
        <x:v>1900</x:v>
      </x:c>
      <x:c r="I88" t="n">
        <x:v>9235.969999999999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3358.21</x:v>
      </x:c>
      <x:c r="E89" t="n">
        <x:v>1140.53</x:v>
      </x:c>
      <x:c r="F89" t="n">
        <x:v>633.63</x:v>
      </x:c>
      <x:c r="G89" t="n">
        <x:v>553.59</x:v>
      </x:c>
      <x:c r="H89" t="n">
        <x:v>1900</x:v>
      </x:c>
      <x:c r="I89" t="n">
        <x:v>9318.02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4231.53</x:v>
      </x:c>
      <x:c r="E90" t="n">
        <x:v>1437.12</x:v>
      </x:c>
      <x:c r="F90" t="n">
        <x:v>798.4</x:v>
      </x:c>
      <x:c r="G90" t="n">
        <x:v>421.24</x:v>
      </x:c>
      <x:c r="H90" t="n">
        <x:v>1900</x:v>
      </x:c>
      <x:c r="I90" t="n">
        <x:v>11741.19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3555.64</x:v>
      </x:c>
      <x:c r="E91" t="n">
        <x:v>1207.58</x:v>
      </x:c>
      <x:c r="F91" t="n">
        <x:v>670.88</x:v>
      </x:c>
      <x:c r="G91" t="n">
        <x:v>392.88</x:v>
      </x:c>
      <x:c r="H91" t="n">
        <x:v>1900</x:v>
      </x:c>
      <x:c r="I91" t="n">
        <x:v>9865.82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3734.24</x:v>
      </x:c>
      <x:c r="E92" t="n">
        <x:v>1268.23</x:v>
      </x:c>
      <x:c r="F92" t="n">
        <x:v>704.5700000000001</x:v>
      </x:c>
      <x:c r="G92" t="n">
        <x:v>878.33</x:v>
      </x:c>
      <x:c r="H92" t="n">
        <x:v>1900</x:v>
      </x:c>
      <x:c r="I92" t="n">
        <x:v>10361.38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3401.32</x:v>
      </x:c>
      <x:c r="E93" t="n">
        <x:v>1155.17</x:v>
      </x:c>
      <x:c r="F93" t="n">
        <x:v>641.76</x:v>
      </x:c>
      <x:c r="G93" t="n">
        <x:v>528.6</x:v>
      </x:c>
      <x:c r="H93" t="n">
        <x:v>1900</x:v>
      </x:c>
      <x:c r="I93" t="n">
        <x:v>9437.629999999999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4125.51</x:v>
      </x:c>
      <x:c r="E94" t="n">
        <x:v>1401.12</x:v>
      </x:c>
      <x:c r="F94" t="n">
        <x:v>778.4</x:v>
      </x:c>
      <x:c r="G94" t="n">
        <x:v>486.53</x:v>
      </x:c>
      <x:c r="H94" t="n">
        <x:v>1900</x:v>
      </x:c>
      <x:c r="I94" t="n">
        <x:v>11447.03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3575.14</x:v>
      </x:c>
      <x:c r="E95" t="n">
        <x:v>1214.2</x:v>
      </x:c>
      <x:c r="F95" t="n">
        <x:v>674.55</x:v>
      </x:c>
      <x:c r="G95" t="n">
        <x:v>489.7</x:v>
      </x:c>
      <x:c r="H95" t="n">
        <x:v>1900</x:v>
      </x:c>
      <x:c r="I95" t="n">
        <x:v>9919.93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3314.44</x:v>
      </x:c>
      <x:c r="E96" t="n">
        <x:v>1125.66</x:v>
      </x:c>
      <x:c r="F96" t="n">
        <x:v>625.37</x:v>
      </x:c>
      <x:c r="G96" t="n">
        <x:v>578.11</x:v>
      </x:c>
      <x:c r="H96" t="n">
        <x:v>1900</x:v>
      </x:c>
      <x:c r="I96" t="n">
        <x:v>9196.559999999999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3395.99</x:v>
      </x:c>
      <x:c r="E97" t="n">
        <x:v>1153.35</x:v>
      </x:c>
      <x:c r="F97" t="n">
        <x:v>640.75</x:v>
      </x:c>
      <x:c r="G97" t="n">
        <x:v>304.69</x:v>
      </x:c>
      <x:c r="H97" t="n">
        <x:v>1900</x:v>
      </x:c>
      <x:c r="I97" t="n">
        <x:v>9422.83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4312.52</x:v>
      </x:c>
      <x:c r="E98" t="n">
        <x:v>1464.63</x:v>
      </x:c>
      <x:c r="F98" t="n">
        <x:v>813.6799999999999</x:v>
      </x:c>
      <x:c r="G98" t="n">
        <x:v>427.38</x:v>
      </x:c>
      <x:c r="H98" t="n">
        <x:v>1900</x:v>
      </x:c>
      <x:c r="I98" t="n">
        <x:v>11965.93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3793.85</x:v>
      </x:c>
      <x:c r="E99" t="n">
        <x:v>1288.48</x:v>
      </x:c>
      <x:c r="F99" t="n">
        <x:v>715.8200000000001</x:v>
      </x:c>
      <x:c r="G99" t="n">
        <x:v>646.6799999999999</x:v>
      </x:c>
      <x:c r="H99" t="n">
        <x:v>1900</x:v>
      </x:c>
      <x:c r="I99" t="n">
        <x:v>10526.79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3665.7</x:v>
      </x:c>
      <x:c r="E100" t="n">
        <x:v>1244.96</x:v>
      </x:c>
      <x:c r="F100" t="n">
        <x:v>691.64</x:v>
      </x:c>
      <x:c r="G100" t="n">
        <x:v>678.6</x:v>
      </x:c>
      <x:c r="H100" t="n">
        <x:v>1900</x:v>
      </x:c>
      <x:c r="I100" t="n">
        <x:v>10171.21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3251.33</x:v>
      </x:c>
      <x:c r="E101" t="n">
        <x:v>1104.23</x:v>
      </x:c>
      <x:c r="F101" t="n">
        <x:v>613.46</x:v>
      </x:c>
      <x:c r="G101" t="n">
        <x:v>448.62</x:v>
      </x:c>
      <x:c r="H101" t="n">
        <x:v>1900</x:v>
      </x:c>
      <x:c r="I101" t="n">
        <x:v>9021.459999999999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4085.68</x:v>
      </x:c>
      <x:c r="E102" t="n">
        <x:v>1387.59</x:v>
      </x:c>
      <x:c r="F102" t="n">
        <x:v>770.88</x:v>
      </x:c>
      <x:c r="G102" t="n">
        <x:v>365.92</x:v>
      </x:c>
      <x:c r="H102" t="n">
        <x:v>1900</x:v>
      </x:c>
      <x:c r="I102" t="n">
        <x:v>11336.5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3492.81</x:v>
      </x:c>
      <x:c r="E103" t="n">
        <x:v>1186.24</x:v>
      </x:c>
      <x:c r="F103" t="n">
        <x:v>659.02</x:v>
      </x:c>
      <x:c r="G103" t="n">
        <x:v>509.96</x:v>
      </x:c>
      <x:c r="H103" t="n">
        <x:v>1900</x:v>
      </x:c>
      <x:c r="I103" t="n">
        <x:v>9691.49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3447.29</x:v>
      </x:c>
      <x:c r="E104" t="n">
        <x:v>1170.78</x:v>
      </x:c>
      <x:c r="F104" t="n">
        <x:v>650.4299999999999</x:v>
      </x:c>
      <x:c r="G104" t="n">
        <x:v>825.4299999999999</x:v>
      </x:c>
      <x:c r="H104" t="n">
        <x:v>1900</x:v>
      </x:c>
      <x:c r="I104" t="n">
        <x:v>9565.18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3769</x:v>
      </x:c>
      <x:c r="E105" t="n">
        <x:v>1280.04</x:v>
      </x:c>
      <x:c r="F105" t="n">
        <x:v>711.13</x:v>
      </x:c>
      <x:c r="G105" t="n">
        <x:v>524.9299999999999</x:v>
      </x:c>
      <x:c r="H105" t="n">
        <x:v>1900</x:v>
      </x:c>
      <x:c r="I105" t="n">
        <x:v>10457.83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4035.1</x:v>
      </x:c>
      <x:c r="E106" t="n">
        <x:v>1370.41</x:v>
      </x:c>
      <x:c r="F106" t="n">
        <x:v>761.34</x:v>
      </x:c>
      <x:c r="G106" t="n">
        <x:v>338.33</x:v>
      </x:c>
      <x:c r="H106" t="n">
        <x:v>1900</x:v>
      </x:c>
      <x:c r="I106" t="n">
        <x:v>11196.18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3591.4</x:v>
      </x:c>
      <x:c r="E107" t="n">
        <x:v>1219.72</x:v>
      </x:c>
      <x:c r="F107" t="n">
        <x:v>677.62</x:v>
      </x:c>
      <x:c r="G107" t="n">
        <x:v>510.58</x:v>
      </x:c>
      <x:c r="H107" t="n">
        <x:v>1900</x:v>
      </x:c>
      <x:c r="I107" t="n">
        <x:v>9965.030000000001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3318.6</x:v>
      </x:c>
      <x:c r="E108" t="n">
        <x:v>1127.07</x:v>
      </x:c>
      <x:c r="F108" t="n">
        <x:v>626.15</x:v>
      </x:c>
      <x:c r="G108" t="n">
        <x:v>842.28</x:v>
      </x:c>
      <x:c r="H108" t="n">
        <x:v>1900</x:v>
      </x:c>
      <x:c r="I108" t="n">
        <x:v>9208.1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3368.86</x:v>
      </x:c>
      <x:c r="E109" t="n">
        <x:v>1144.14</x:v>
      </x:c>
      <x:c r="F109" t="n">
        <x:v>635.63</x:v>
      </x:c>
      <x:c r="G109" t="n">
        <x:v>395.54</x:v>
      </x:c>
      <x:c r="H109" t="n">
        <x:v>1900</x:v>
      </x:c>
      <x:c r="I109" t="n">
        <x:v>9347.559999999999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4038.77</x:v>
      </x:c>
      <x:c r="E110" t="n">
        <x:v>1371.66</x:v>
      </x:c>
      <x:c r="F110" t="n">
        <x:v>762.03</x:v>
      </x:c>
      <x:c r="G110" t="n">
        <x:v>563.48</x:v>
      </x:c>
      <x:c r="H110" t="n">
        <x:v>1900</x:v>
      </x:c>
      <x:c r="I110" t="n">
        <x:v>11206.35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3826.66</x:v>
      </x:c>
      <x:c r="E111" t="n">
        <x:v>1299.62</x:v>
      </x:c>
      <x:c r="F111" t="n">
        <x:v>722.01</x:v>
      </x:c>
      <x:c r="G111" t="n">
        <x:v>454.36</x:v>
      </x:c>
      <x:c r="H111" t="n">
        <x:v>1900</x:v>
      </x:c>
      <x:c r="I111" t="n">
        <x:v>10617.81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3347.54</x:v>
      </x:c>
      <x:c r="E112" t="n">
        <x:v>1136.9</x:v>
      </x:c>
      <x:c r="F112" t="n">
        <x:v>631.61</x:v>
      </x:c>
      <x:c r="G112" t="n">
        <x:v>738.86</x:v>
      </x:c>
      <x:c r="H112" t="n">
        <x:v>1900</x:v>
      </x:c>
      <x:c r="I112" t="n">
        <x:v>9288.4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3185.28</x:v>
      </x:c>
      <x:c r="E113" t="n">
        <x:v>1081.79</x:v>
      </x:c>
      <x:c r="F113" t="n">
        <x:v>601</x:v>
      </x:c>
      <x:c r="G113" t="n">
        <x:v>462.17</x:v>
      </x:c>
      <x:c r="H113" t="n">
        <x:v>1900</x:v>
      </x:c>
      <x:c r="I113" t="n">
        <x:v>8838.190000000001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4143.12</x:v>
      </x:c>
      <x:c r="E114" t="n">
        <x:v>1407.1</x:v>
      </x:c>
      <x:c r="F114" t="n">
        <x:v>781.72</x:v>
      </x:c>
      <x:c r="G114" t="n">
        <x:v>489.69</x:v>
      </x:c>
      <x:c r="H114" t="n">
        <x:v>1900</x:v>
      </x:c>
      <x:c r="I114" t="n">
        <x:v>11495.88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3454.28</x:v>
      </x:c>
      <x:c r="E115" t="n">
        <x:v>1173.15</x:v>
      </x:c>
      <x:c r="F115" t="n">
        <x:v>651.75</x:v>
      </x:c>
      <x:c r="G115" t="n">
        <x:v>454.85</x:v>
      </x:c>
      <x:c r="H115" t="n">
        <x:v>1900</x:v>
      </x:c>
      <x:c r="I115" t="n">
        <x:v>9584.58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3501.18</x:v>
      </x:c>
      <x:c r="E116" t="n">
        <x:v>1189.08</x:v>
      </x:c>
      <x:c r="F116" t="n">
        <x:v>660.6</x:v>
      </x:c>
      <x:c r="G116" t="n">
        <x:v>729.54</x:v>
      </x:c>
      <x:c r="H116" t="n">
        <x:v>1900</x:v>
      </x:c>
      <x:c r="I116" t="n">
        <x:v>9714.700000000001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3145.25</x:v>
      </x:c>
      <x:c r="E117" t="n">
        <x:v>1068.2</x:v>
      </x:c>
      <x:c r="F117" t="n">
        <x:v>593.4400000000001</x:v>
      </x:c>
      <x:c r="G117" t="n">
        <x:v>663.95</x:v>
      </x:c>
      <x:c r="H117" t="n">
        <x:v>1900</x:v>
      </x:c>
      <x:c r="I117" t="n">
        <x:v>8727.120000000001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4131.38</x:v>
      </x:c>
      <x:c r="E118" t="n">
        <x:v>1403.11</x:v>
      </x:c>
      <x:c r="F118" t="n">
        <x:v>779.51</x:v>
      </x:c>
      <x:c r="G118" t="n">
        <x:v>397.63</x:v>
      </x:c>
      <x:c r="H118" t="n">
        <x:v>1900</x:v>
      </x:c>
      <x:c r="I118" t="n">
        <x:v>11463.33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3554.92</x:v>
      </x:c>
      <x:c r="E119" t="n">
        <x:v>1207.33</x:v>
      </x:c>
      <x:c r="F119" t="n">
        <x:v>670.74</x:v>
      </x:c>
      <x:c r="G119" t="n">
        <x:v>464.85</x:v>
      </x:c>
      <x:c r="H119" t="n">
        <x:v>1900</x:v>
      </x:c>
      <x:c r="I119" t="n">
        <x:v>9863.809999999999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3414.79</x:v>
      </x:c>
      <x:c r="E120" t="n">
        <x:v>1159.74</x:v>
      </x:c>
      <x:c r="F120" t="n">
        <x:v>644.3</x:v>
      </x:c>
      <x:c r="G120" t="n">
        <x:v>737.84</x:v>
      </x:c>
      <x:c r="H120" t="n">
        <x:v>1900</x:v>
      </x:c>
      <x:c r="I120" t="n">
        <x:v>9474.99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3393.56</x:v>
      </x:c>
      <x:c r="E121" t="n">
        <x:v>1152.53</x:v>
      </x:c>
      <x:c r="F121" t="n">
        <x:v>640.29</x:v>
      </x:c>
      <x:c r="G121" t="n">
        <x:v>526.45</x:v>
      </x:c>
      <x:c r="H121" t="n">
        <x:v>1900</x:v>
      </x:c>
      <x:c r="I121" t="n">
        <x:v>9416.1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3982.26</x:v>
      </x:c>
      <x:c r="E122" t="n">
        <x:v>1352.46</x:v>
      </x:c>
      <x:c r="F122" t="n">
        <x:v>751.37</x:v>
      </x:c>
      <x:c r="G122" t="n">
        <x:v>450.29</x:v>
      </x:c>
      <x:c r="H122" t="n">
        <x:v>1900</x:v>
      </x:c>
      <x:c r="I122" t="n">
        <x:v>11049.54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3581.45</x:v>
      </x:c>
      <x:c r="E123" t="n">
        <x:v>1216.34</x:v>
      </x:c>
      <x:c r="F123" t="n">
        <x:v>675.74</x:v>
      </x:c>
      <x:c r="G123" t="n">
        <x:v>536.09</x:v>
      </x:c>
      <x:c r="H123" t="n">
        <x:v>1900</x:v>
      </x:c>
      <x:c r="I123" t="n">
        <x:v>9937.43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3462.06</x:v>
      </x:c>
      <x:c r="E124" t="n">
        <x:v>1175.79</x:v>
      </x:c>
      <x:c r="F124" t="n">
        <x:v>653.22</x:v>
      </x:c>
      <x:c r="G124" t="n">
        <x:v>778.34</x:v>
      </x:c>
      <x:c r="H124" t="n">
        <x:v>1900</x:v>
      </x:c>
      <x:c r="I124" t="n">
        <x:v>9606.16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3143.32</x:v>
      </x:c>
      <x:c r="E125" t="n">
        <x:v>1067.54</x:v>
      </x:c>
      <x:c r="F125" t="n">
        <x:v>593.08</x:v>
      </x:c>
      <x:c r="G125" t="n">
        <x:v>425.01</x:v>
      </x:c>
      <x:c r="H125" t="n">
        <x:v>1900</x:v>
      </x:c>
      <x:c r="I125" t="n">
        <x:v>8721.76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22" hidden="0" customWidth="1"/>
    <x:col min="7" max="7" width="48" hidden="0" customWidth="1"/>
  </x:cols>
  <x:sheetData>
    <x:row r="1">
      <x:c r="A1" s="23" t="str">
        <x:v>Indicador</x:v>
      </x:c>
      <x:c r="B1" s="24" t="str">
        <x:v>Meta</x:v>
      </x:c>
      <x:c r="C1" s="25" t="str">
        <x:v>Direcao</x:v>
      </x:c>
      <x:c r="D1" s="25" t="str">
        <x:v>Unidade</x:v>
      </x:c>
      <x:c r="E1" s="25" t="str">
        <x:v>Obrigatoria</x:v>
      </x:c>
      <x:c r="F1" s="25" t="str">
        <x:v>Referencia_Financeira</x:v>
      </x:c>
      <x:c r="G1" s="26" t="str">
        <x:v>Observacao</x:v>
      </x:c>
    </x:row>
    <x:row r="2">
      <x:c r="A2" s="27" t="str">
        <x:v>Atingimento Produção</x:v>
      </x:c>
      <x:c r="B2" s="39" t="n">
        <x:v>1</x:v>
      </x:c>
      <x:c r="C2" s="19" t="str">
        <x:v>Maior melhor</x:v>
      </x:c>
      <x:c r="D2" s="19" t="str">
        <x:v>%</x:v>
      </x:c>
      <x:c r="E2" s="19" t="str">
        <x:v>Sim</x:v>
      </x:c>
      <x:c r="F2" s="19" t="str">
        <x:v>Margem/EBITDA</x:v>
      </x:c>
      <x:c r="G2" s="28" t="str">
        <x:v>Produção realizada / planejada</x:v>
      </x:c>
    </x:row>
    <x:row r="3">
      <x:c r="A3" s="27" t="str">
        <x:v>OEE</x:v>
      </x:c>
      <x:c r="B3" s="39" t="n">
        <x:v>0.78</x:v>
      </x:c>
      <x:c r="C3" s="19" t="str">
        <x:v>Maior melhor</x:v>
      </x:c>
      <x:c r="D3" s="19" t="str">
        <x:v>%</x:v>
      </x:c>
      <x:c r="E3" s="19" t="str">
        <x:v>Sim</x:v>
      </x:c>
      <x:c r="F3" s="19" t="str">
        <x:v>Margem/EBITDA</x:v>
      </x:c>
      <x:c r="G3" s="28" t="str">
        <x:v>Indicador operacional; impacto financeiro deve ser atribuído às perdas causais sem dupla contagem</x:v>
      </x:c>
    </x:row>
    <x:row r="4">
      <x:c r="A4" s="27" t="str">
        <x:v>Disponibilidade</x:v>
      </x:c>
      <x:c r="B4" s="39" t="n">
        <x:v>0.82</x:v>
      </x:c>
      <x:c r="C4" s="19" t="str">
        <x:v>Maior melhor</x:v>
      </x:c>
      <x:c r="D4" s="19" t="str">
        <x:v>%</x:v>
      </x:c>
      <x:c r="E4" s="19" t="str">
        <x:v>Sim</x:v>
      </x:c>
      <x:c r="F4" s="19" t="str">
        <x:v>Margem/EBITDA</x:v>
      </x:c>
      <x:c r="G4" s="28" t="str">
        <x:v>Componente do OEE</x:v>
      </x:c>
    </x:row>
    <x:row r="5">
      <x:c r="A5" s="27" t="str">
        <x:v>Performance</x:v>
      </x:c>
      <x:c r="B5" s="39" t="n">
        <x:v>0.97</x:v>
      </x:c>
      <x:c r="C5" s="19" t="str">
        <x:v>Maior melhor</x:v>
      </x:c>
      <x:c r="D5" s="19" t="str">
        <x:v>%</x:v>
      </x:c>
      <x:c r="E5" s="19" t="str">
        <x:v>Sim</x:v>
      </x:c>
      <x:c r="F5" s="19" t="str">
        <x:v>Margem/EBITDA</x:v>
      </x:c>
      <x:c r="G5" s="28" t="str">
        <x:v>Componente do OEE</x:v>
      </x:c>
    </x:row>
    <x:row r="6">
      <x:c r="A6" s="27" t="str">
        <x:v>Qualidade</x:v>
      </x:c>
      <x:c r="B6" s="39" t="n">
        <x:v>0.985</x:v>
      </x:c>
      <x:c r="C6" s="19" t="str">
        <x:v>Maior melhor</x:v>
      </x:c>
      <x:c r="D6" s="19" t="str">
        <x:v>%</x:v>
      </x:c>
      <x:c r="E6" s="19" t="str">
        <x:v>Sim</x:v>
      </x:c>
      <x:c r="F6" s="19" t="str">
        <x:v>Custo variável/Margem</x:v>
      </x:c>
      <x:c r="G6" s="28" t="str">
        <x:v>Componente do OEE</x:v>
      </x:c>
    </x:row>
    <x:row r="7">
      <x:c r="A7" s="27" t="str">
        <x:v>Eficiência MOD</x:v>
      </x:c>
      <x:c r="B7" s="39" t="n">
        <x:v>0.95</x:v>
      </x:c>
      <x:c r="C7" s="19" t="str">
        <x:v>Maior melhor</x:v>
      </x:c>
      <x:c r="D7" s="19" t="str">
        <x:v>%</x:v>
      </x:c>
      <x:c r="E7" s="19" t="str">
        <x:v>Sim</x:v>
      </x:c>
      <x:c r="F7" s="19" t="str">
        <x:v>Custo/Margem</x:v>
      </x:c>
      <x:c r="G7" s="28" t="str">
        <x:v>Calculada por HH padrão ganhas / HH reais; mix linearizado</x:v>
      </x:c>
    </x:row>
    <x:row r="8">
      <x:c r="A8" s="27" t="str">
        <x:v>Refugo</x:v>
      </x:c>
      <x:c r="B8" s="39" t="n">
        <x:v>0.025</x:v>
      </x:c>
      <x:c r="C8" s="19" t="str">
        <x:v>Menor melhor</x:v>
      </x:c>
      <x:c r="D8" s="19" t="str">
        <x:v>%</x:v>
      </x:c>
      <x:c r="E8" s="19" t="str">
        <x:v>Sim</x:v>
      </x:c>
      <x:c r="F8" s="19" t="str">
        <x:v>Custo variável/Margem</x:v>
      </x:c>
      <x:c r="G8" s="28" t="str">
        <x:v>Menor é melhor</x:v>
      </x:c>
    </x:row>
    <x:row r="9">
      <x:c r="A9" s="27" t="str">
        <x:v>OTIF</x:v>
      </x:c>
      <x:c r="B9" s="39" t="n">
        <x:v>0.95</x:v>
      </x:c>
      <x:c r="C9" s="19" t="str">
        <x:v>Maior melhor</x:v>
      </x:c>
      <x:c r="D9" s="19" t="str">
        <x:v>%</x:v>
      </x:c>
      <x:c r="E9" s="19" t="str">
        <x:v>Sim</x:v>
      </x:c>
      <x:c r="F9" s="19" t="str">
        <x:v>Receita/Caixa</x:v>
      </x:c>
      <x:c r="G9" s="28" t="str">
        <x:v>Pode proteger receita e nível de serviço</x:v>
      </x:c>
    </x:row>
    <x:row r="10">
      <x:c r="A10" s="27" t="str">
        <x:v>Custo/unidade</x:v>
      </x:c>
      <x:c r="B10" s="19" t="n">
        <x:v>17.1</x:v>
      </x:c>
      <x:c r="C10" s="19" t="str">
        <x:v>Menor melhor</x:v>
      </x:c>
      <x:c r="D10" s="19" t="str">
        <x:v>R$/un</x:v>
      </x:c>
      <x:c r="E10" s="19" t="str">
        <x:v>Sim</x:v>
      </x:c>
      <x:c r="F10" s="19" t="str">
        <x:v>Margem/EBITDA</x:v>
      </x:c>
      <x:c r="G10" s="28" t="str">
        <x:v>Comparar com padrão/orçamento</x:v>
      </x:c>
    </x:row>
    <x:row r="11">
      <x:c r="A11" s="27" t="str">
        <x:v>Horas extras</x:v>
      </x:c>
      <x:c r="B11" s="19" t="n">
        <x:v>900</x:v>
      </x:c>
      <x:c r="C11" s="19" t="str">
        <x:v>Menor melhor</x:v>
      </x:c>
      <x:c r="D11" s="19" t="str">
        <x:v>h</x:v>
      </x:c>
      <x:c r="E11" s="19" t="str">
        <x:v>Sim</x:v>
      </x:c>
      <x:c r="F11" s="19" t="str">
        <x:v>Custo/EBITDA</x:v>
      </x:c>
      <x:c r="G11" s="28" t="str">
        <x:v>Limite mensal</x:v>
      </x:c>
    </x:row>
    <x:row r="12">
      <x:c r="A12" s="27" t="str">
        <x:v>Margem Contribuição</x:v>
      </x:c>
      <x:c r="B12" s="19" t="n">
        <x:v>0.31</x:v>
      </x:c>
      <x:c r="C12" s="19" t="str">
        <x:v>Maior melhor</x:v>
      </x:c>
      <x:c r="D12" s="19" t="str">
        <x:v>%</x:v>
      </x:c>
      <x:c r="E12" s="19" t="str">
        <x:v>Sim</x:v>
      </x:c>
      <x:c r="F12" s="19" t="str">
        <x:v>Margem</x:v>
      </x:c>
      <x:c r="G12" s="28" t="str"/>
    </x:row>
    <x:row r="13">
      <x:c r="A13" s="29" t="str">
        <x:v>EBITDA Industrial</x:v>
      </x:c>
      <x:c r="B13" s="41" t="n">
        <x:v>2400000</x:v>
      </x:c>
      <x:c r="C13" s="30" t="str">
        <x:v>Maior melhor</x:v>
      </x:c>
      <x:c r="D13" s="30" t="str">
        <x:v>R$</x:v>
      </x:c>
      <x:c r="E13" s="30" t="str">
        <x:v>Sim</x:v>
      </x:c>
      <x:c r="F13" s="30" t="str">
        <x:v>EBITDA</x:v>
      </x:c>
      <x:c r="G13" s="31" t="str">
        <x:v>Meta mensal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2" hidden="0" customWidth="1"/>
    <x:col min="5" max="5" width="18" hidden="0" customWidth="1"/>
    <x:col min="6" max="6" width="15" hidden="0" customWidth="1"/>
    <x:col min="7" max="7" width="22" hidden="0" customWidth="1"/>
    <x:col min="8" max="8" width="16" hidden="0" customWidth="1"/>
    <x:col min="9" max="9" width="17" hidden="0" customWidth="1"/>
    <x:col min="10" max="10" width="20" hidden="0" customWidth="1"/>
    <x:col min="11" max="11" width="16" hidden="0" customWidth="1"/>
    <x:col min="12" max="12" width="23" hidden="0" customWidth="1"/>
    <x:col min="13" max="13" width="25" hidden="0" customWidth="1"/>
    <x:col min="14" max="14" width="25" hidden="0" customWidth="1"/>
    <x:col min="15" max="15" width="28" hidden="0" customWidth="1"/>
  </x:cols>
  <x:sheetData>
    <x:row r="1">
      <x:c r="A1" s="53" t="str">
        <x:v>Produto</x:v>
      </x:c>
      <x:c r="B1" s="54" t="str">
        <x:v>Familia</x:v>
      </x:c>
      <x:c r="C1" s="54" t="str">
        <x:v>Linha_Padrao</x:v>
      </x:c>
      <x:c r="D1" s="54" t="str">
        <x:v>Tempo_Ciclo_Padrao_min_un</x:v>
      </x:c>
      <x:c r="E1" s="54" t="str">
        <x:v>Operadores_Padrao</x:v>
      </x:c>
      <x:c r="F1" s="54" t="str">
        <x:v>HH_Padrao_un</x:v>
      </x:c>
      <x:c r="G1" s="54" t="str">
        <x:v>Tempo_Setup_Padrao_min_lote</x:v>
      </x:c>
      <x:c r="H1" s="54" t="str">
        <x:v>Lote_Padrao_un</x:v>
      </x:c>
      <x:c r="I1" s="54" t="str">
        <x:v>MP_Padrao_kg_un</x:v>
      </x:c>
      <x:c r="J1" s="54" t="str">
        <x:v>Energia_Padrao_kWh_un</x:v>
      </x:c>
      <x:c r="K1" s="54" t="str">
        <x:v>Custo_HH_MOD_R$</x:v>
      </x:c>
      <x:c r="L1" s="54" t="str">
        <x:v>Preco_Liquido_Padrao_R$_un</x:v>
      </x:c>
      <x:c r="M1" s="54" t="str">
        <x:v>Custo_Variavel_Padrao_R$_un</x:v>
      </x:c>
      <x:c r="N1" s="54" t="str">
        <x:v>Margem_Contrib_Padrao_R$_un</x:v>
      </x:c>
      <x:c r="O1" s="55" t="str">
        <x:v>Observacao</x:v>
      </x:c>
    </x:row>
    <x:row r="2">
      <x:c r="A2" s="27" t="str">
        <x:v>A</x:v>
      </x:c>
      <x:c r="B2" s="19" t="str">
        <x:v>Família A</x:v>
      </x:c>
      <x:c r="C2" s="19" t="str">
        <x:v>Linha 1</x:v>
      </x:c>
      <x:c r="D2" s="59" t="n">
        <x:v>0.9</x:v>
      </x:c>
      <x:c r="E2" s="19" t="n">
        <x:v>2</x:v>
      </x:c>
      <x:c r="F2" s="63" t="n">
        <x:f>D2/60*E2</x:f>
        <x:v>0.030000000000000002</x:v>
      </x:c>
      <x:c r="G2" s="19" t="n">
        <x:v>35</x:v>
      </x:c>
      <x:c r="H2" s="19" t="n">
        <x:v>500</x:v>
      </x:c>
      <x:c r="I2" s="59" t="n">
        <x:v>1.2</x:v>
      </x:c>
      <x:c r="J2" s="59" t="n">
        <x:v>0.42</x:v>
      </x:c>
      <x:c r="K2" s="67" t="n">
        <x:v>32</x:v>
      </x:c>
      <x:c r="L2" s="67" t="n">
        <x:v>28</x:v>
      </x:c>
      <x:c r="M2" s="67" t="n">
        <x:v>18.2</x:v>
      </x:c>
      <x:c r="N2" s="67" t="n">
        <x:f>L2-M2</x:f>
        <x:v>9.8</x:v>
      </x:c>
      <x:c r="O2" s="28" t="str">
        <x:v>Produto exemplo</x:v>
      </x:c>
    </x:row>
    <x:row r="3">
      <x:c r="A3" s="27" t="str">
        <x:v>B</x:v>
      </x:c>
      <x:c r="B3" s="19" t="str">
        <x:v>Família B</x:v>
      </x:c>
      <x:c r="C3" s="19" t="str">
        <x:v>Linha 2</x:v>
      </x:c>
      <x:c r="D3" s="59" t="n">
        <x:v>1.2</x:v>
      </x:c>
      <x:c r="E3" s="19" t="n">
        <x:v>3</x:v>
      </x:c>
      <x:c r="F3" s="63" t="n">
        <x:f>D3/60*E3</x:f>
        <x:v>0.06</x:v>
      </x:c>
      <x:c r="G3" s="19" t="n">
        <x:v>45</x:v>
      </x:c>
      <x:c r="H3" s="19" t="n">
        <x:v>420</x:v>
      </x:c>
      <x:c r="I3" s="59" t="n">
        <x:v>1.45</x:v>
      </x:c>
      <x:c r="J3" s="59" t="n">
        <x:v>0.5</x:v>
      </x:c>
      <x:c r="K3" s="67" t="n">
        <x:v>32</x:v>
      </x:c>
      <x:c r="L3" s="67" t="n">
        <x:v>34</x:v>
      </x:c>
      <x:c r="M3" s="67" t="n">
        <x:v>22.1</x:v>
      </x:c>
      <x:c r="N3" s="67" t="n">
        <x:f>L3-M3</x:f>
        <x:v>11.899999999999999</x:v>
      </x:c>
      <x:c r="O3" s="28" t="str">
        <x:v>Produto exemplo</x:v>
      </x:c>
    </x:row>
    <x:row r="4">
      <x:c r="A4" s="27" t="str">
        <x:v>C</x:v>
      </x:c>
      <x:c r="B4" s="19" t="str">
        <x:v>Família C</x:v>
      </x:c>
      <x:c r="C4" s="19" t="str">
        <x:v>Linha 3</x:v>
      </x:c>
      <x:c r="D4" s="59" t="n">
        <x:v>1.75</x:v>
      </x:c>
      <x:c r="E4" s="19" t="n">
        <x:v>4</x:v>
      </x:c>
      <x:c r="F4" s="63" t="n">
        <x:f>D4/60*E4</x:f>
        <x:v>0.11666666666666667</x:v>
      </x:c>
      <x:c r="G4" s="19" t="n">
        <x:v>55</x:v>
      </x:c>
      <x:c r="H4" s="19" t="n">
        <x:v>350</x:v>
      </x:c>
      <x:c r="I4" s="59" t="n">
        <x:v>1.8</x:v>
      </x:c>
      <x:c r="J4" s="59" t="n">
        <x:v>0.68</x:v>
      </x:c>
      <x:c r="K4" s="67" t="n">
        <x:v>32</x:v>
      </x:c>
      <x:c r="L4" s="67" t="n">
        <x:v>42</x:v>
      </x:c>
      <x:c r="M4" s="67" t="n">
        <x:v>28.6</x:v>
      </x:c>
      <x:c r="N4" s="67" t="n">
        <x:f>L4-M4</x:f>
        <x:v>13.399999999999999</x:v>
      </x:c>
      <x:c r="O4" s="28" t="str">
        <x:v>Produto exemplo</x:v>
      </x:c>
    </x:row>
    <x:row r="5">
      <x:c r="A5" s="29" t="str">
        <x:v>D</x:v>
      </x:c>
      <x:c r="B5" s="30" t="str">
        <x:v>Família D</x:v>
      </x:c>
      <x:c r="C5" s="30" t="str">
        <x:v>Linha 4</x:v>
      </x:c>
      <x:c r="D5" s="60" t="n">
        <x:v>1.45</x:v>
      </x:c>
      <x:c r="E5" s="30" t="n">
        <x:v>3</x:v>
      </x:c>
      <x:c r="F5" s="64" t="n">
        <x:f>D5/60*E5</x:f>
        <x:v>0.0725</x:v>
      </x:c>
      <x:c r="G5" s="30" t="n">
        <x:v>40</x:v>
      </x:c>
      <x:c r="H5" s="30" t="n">
        <x:v>380</x:v>
      </x:c>
      <x:c r="I5" s="60" t="n">
        <x:v>1.55</x:v>
      </x:c>
      <x:c r="J5" s="60" t="n">
        <x:v>0.57</x:v>
      </x:c>
      <x:c r="K5" s="68" t="n">
        <x:v>32</x:v>
      </x:c>
      <x:c r="L5" s="68" t="n">
        <x:v>37</x:v>
      </x:c>
      <x:c r="M5" s="68" t="n">
        <x:v>24.9</x:v>
      </x:c>
      <x:c r="N5" s="68" t="n">
        <x:f>L5-M5</x:f>
        <x:v>12.100000000000001</x:v>
      </x:c>
      <x:c r="O5" s="31" t="str">
        <x:v>Produto exemplo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26" hidden="0" customWidth="1"/>
    <x:col min="5" max="5" width="18" hidden="0" customWidth="1"/>
    <x:col min="6" max="6" width="18" hidden="0" customWidth="1"/>
    <x:col min="7" max="7" width="46" hidden="0" customWidth="1"/>
  </x:cols>
  <x:sheetData>
    <x:row r="1">
      <x:c r="A1" s="71" t="str">
        <x:v>Alavanca</x:v>
      </x:c>
      <x:c r="B1" s="25" t="str">
        <x:v>Esforco_1a5</x:v>
      </x:c>
      <x:c r="C1" s="25" t="str">
        <x:v>Horizonte_dias</x:v>
      </x:c>
      <x:c r="D1" s="25" t="str">
        <x:v>Responsavel_Tipico</x:v>
      </x:c>
      <x:c r="E1" s="25" t="str">
        <x:v>Tipo_Impacto</x:v>
      </x:c>
      <x:c r="F1" s="25" t="str">
        <x:v>Peso_Minimo_Gestao</x:v>
      </x:c>
      <x:c r="G1" s="26" t="str">
        <x:v>Observacao</x:v>
      </x:c>
    </x:row>
    <x:row r="2">
      <x:c r="A2" s="27" t="str">
        <x:v>Disponibilidade</x:v>
      </x:c>
      <x:c r="B2" s="19" t="n">
        <x:v>4</x:v>
      </x:c>
      <x:c r="C2" s="19" t="n">
        <x:v>60</x:v>
      </x:c>
      <x:c r="D2" s="19" t="str">
        <x:v>Manutenção</x:v>
      </x:c>
      <x:c r="E2" s="19" t="str">
        <x:v>EBITDA</x:v>
      </x:c>
      <x:c r="F2" s="39" t="n">
        <x:v>0.08</x:v>
      </x:c>
      <x:c r="G2" s="28" t="str">
        <x:v>Confiabilidade, manutenção preventiva/corretiva</x:v>
      </x:c>
    </x:row>
    <x:row r="3">
      <x:c r="A3" s="27" t="str">
        <x:v>Performance</x:v>
      </x:c>
      <x:c r="B3" s="19" t="n">
        <x:v>3</x:v>
      </x:c>
      <x:c r="C3" s="19" t="n">
        <x:v>45</x:v>
      </x:c>
      <x:c r="D3" s="19" t="str">
        <x:v>Produção / Processos</x:v>
      </x:c>
      <x:c r="E3" s="19" t="str">
        <x:v>EBITDA</x:v>
      </x:c>
      <x:c r="F3" s="39" t="n">
        <x:v>0.06</x:v>
      </x:c>
      <x:c r="G3" s="28" t="str">
        <x:v>Velocidade, microparadas, padrão operacional</x:v>
      </x:c>
    </x:row>
    <x:row r="4">
      <x:c r="A4" s="27" t="str">
        <x:v>Setup</x:v>
      </x:c>
      <x:c r="B4" s="19" t="n">
        <x:v>2</x:v>
      </x:c>
      <x:c r="C4" s="19" t="n">
        <x:v>30</x:v>
      </x:c>
      <x:c r="D4" s="19" t="str">
        <x:v>Engenharia de Processos</x:v>
      </x:c>
      <x:c r="E4" s="19" t="str">
        <x:v>EBITDA</x:v>
      </x:c>
      <x:c r="F4" s="39" t="n">
        <x:v>0.05</x:v>
      </x:c>
      <x:c r="G4" s="28" t="str">
        <x:v>SMED, sequenciamento, preparação externa</x:v>
      </x:c>
    </x:row>
    <x:row r="5">
      <x:c r="A5" s="27" t="str">
        <x:v>Refugo</x:v>
      </x:c>
      <x:c r="B5" s="19" t="n">
        <x:v>3</x:v>
      </x:c>
      <x:c r="C5" s="19" t="n">
        <x:v>45</x:v>
      </x:c>
      <x:c r="D5" s="19" t="str">
        <x:v>Qualidade / Processos</x:v>
      </x:c>
      <x:c r="E5" s="19" t="str">
        <x:v>EBITDA</x:v>
      </x:c>
      <x:c r="F5" s="39" t="n">
        <x:v>0.08</x:v>
      </x:c>
      <x:c r="G5" s="28" t="str">
        <x:v>Material, processo, parâmetros e estabilidade</x:v>
      </x:c>
    </x:row>
    <x:row r="6">
      <x:c r="A6" s="27" t="str">
        <x:v>Retrabalho</x:v>
      </x:c>
      <x:c r="B6" s="19" t="n">
        <x:v>3</x:v>
      </x:c>
      <x:c r="C6" s="19" t="n">
        <x:v>45</x:v>
      </x:c>
      <x:c r="D6" s="19" t="str">
        <x:v>Qualidade / Produção</x:v>
      </x:c>
      <x:c r="E6" s="19" t="str">
        <x:v>EBITDA</x:v>
      </x:c>
      <x:c r="F6" s="39" t="n">
        <x:v>0.05</x:v>
      </x:c>
      <x:c r="G6" s="28" t="str">
        <x:v>Horas e capacidade consumida</x:v>
      </x:c>
    </x:row>
    <x:row r="7">
      <x:c r="A7" s="27" t="str">
        <x:v>Eficiência MOD</x:v>
      </x:c>
      <x:c r="B7" s="19" t="n">
        <x:v>3</x:v>
      </x:c>
      <x:c r="C7" s="19" t="n">
        <x:v>45</x:v>
      </x:c>
      <x:c r="D7" s="19" t="str">
        <x:v>Produção / Engenharia</x:v>
      </x:c>
      <x:c r="E7" s="19" t="str">
        <x:v>EBITDA</x:v>
      </x:c>
      <x:c r="F7" s="39" t="n">
        <x:v>0.07</x:v>
      </x:c>
      <x:c r="G7" s="28" t="str">
        <x:v>Mix linearizado por HH padrão</x:v>
      </x:c>
    </x:row>
    <x:row r="8">
      <x:c r="A8" s="27" t="str">
        <x:v>Horas extras</x:v>
      </x:c>
      <x:c r="B8" s="19" t="n">
        <x:v>2</x:v>
      </x:c>
      <x:c r="C8" s="19" t="n">
        <x:v>30</x:v>
      </x:c>
      <x:c r="D8" s="19" t="str">
        <x:v>Produção</x:v>
      </x:c>
      <x:c r="E8" s="19" t="str">
        <x:v>EBITDA</x:v>
      </x:c>
      <x:c r="F8" s="39" t="n">
        <x:v>0.05</x:v>
      </x:c>
      <x:c r="G8" s="28" t="str">
        <x:v>Dimensionamento de turno/capacidade</x:v>
      </x:c>
    </x:row>
    <x:row r="9">
      <x:c r="A9" s="27" t="str">
        <x:v>Consumo MP</x:v>
      </x:c>
      <x:c r="B9" s="19" t="n">
        <x:v>3</x:v>
      </x:c>
      <x:c r="C9" s="19" t="n">
        <x:v>45</x:v>
      </x:c>
      <x:c r="D9" s="19" t="str">
        <x:v>Processos / Suprimentos</x:v>
      </x:c>
      <x:c r="E9" s="19" t="str">
        <x:v>EBITDA</x:v>
      </x:c>
      <x:c r="F9" s="39" t="n">
        <x:v>0.07</x:v>
      </x:c>
      <x:c r="G9" s="28" t="str">
        <x:v>Consumo específico vs padrão</x:v>
      </x:c>
    </x:row>
    <x:row r="10">
      <x:c r="A10" s="27" t="str">
        <x:v>Energia</x:v>
      </x:c>
      <x:c r="B10" s="19" t="n">
        <x:v>3</x:v>
      </x:c>
      <x:c r="C10" s="19" t="n">
        <x:v>60</x:v>
      </x:c>
      <x:c r="D10" s="19" t="str">
        <x:v>Utilidades / Engenharia</x:v>
      </x:c>
      <x:c r="E10" s="19" t="str">
        <x:v>EBITDA</x:v>
      </x:c>
      <x:c r="F10" s="39" t="n">
        <x:v>0.04</x:v>
      </x:c>
      <x:c r="G10" s="28" t="str">
        <x:v>kWh/unidade equivalente</x:v>
      </x:c>
    </x:row>
    <x:row r="11">
      <x:c r="A11" s="27" t="str">
        <x:v>Custo fixo</x:v>
      </x:c>
      <x:c r="B11" s="19" t="n">
        <x:v>4</x:v>
      </x:c>
      <x:c r="C11" s="19" t="n">
        <x:v>90</x:v>
      </x:c>
      <x:c r="D11" s="19" t="str">
        <x:v>Diretor Industrial / CFO</x:v>
      </x:c>
      <x:c r="E11" s="19" t="str">
        <x:v>EBITDA</x:v>
      </x:c>
      <x:c r="F11" s="39" t="n">
        <x:v>0.08</x:v>
      </x:c>
      <x:c r="G11" s="28" t="str">
        <x:v>Estrutura, contratos e capacidade ociosa</x:v>
      </x:c>
    </x:row>
    <x:row r="12">
      <x:c r="A12" s="27" t="str">
        <x:v>OTIF</x:v>
      </x:c>
      <x:c r="B12" s="19" t="n">
        <x:v>3</x:v>
      </x:c>
      <x:c r="C12" s="19" t="n">
        <x:v>45</x:v>
      </x:c>
      <x:c r="D12" s="19" t="str">
        <x:v>PCP / Logística</x:v>
      </x:c>
      <x:c r="E12" s="19" t="str">
        <x:v>Receita/Caixa</x:v>
      </x:c>
      <x:c r="F12" s="39" t="n">
        <x:v>0.06</x:v>
      </x:c>
      <x:c r="G12" s="28" t="str">
        <x:v>Proteção de receita e serviço</x:v>
      </x:c>
    </x:row>
    <x:row r="13">
      <x:c r="A13" s="29" t="str">
        <x:v>Capital de giro</x:v>
      </x:c>
      <x:c r="B13" s="30" t="n">
        <x:v>3</x:v>
      </x:c>
      <x:c r="C13" s="30" t="n">
        <x:v>60</x:v>
      </x:c>
      <x:c r="D13" s="30" t="str">
        <x:v>Supply / CFO</x:v>
      </x:c>
      <x:c r="E13" s="30" t="str">
        <x:v>Caixa</x:v>
      </x:c>
      <x:c r="F13" s="41" t="n">
        <x:v>0.05</x:v>
      </x:c>
      <x:c r="G13" s="31" t="str">
        <x:v>Estoque, WIP, DSO e DPO</x:v>
      </x:c>
    </x:row>
  </x:sheetData>
  <x:dataValidations count="1">
    <x:dataValidation operator="between" sqref="B2:B13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15" hidden="0" customWidth="1"/>
    <x:col min="4" max="4" width="25" hidden="0" customWidth="1"/>
    <x:col min="5" max="5" width="42" hidden="0" customWidth="1"/>
    <x:col min="6" max="6" width="38" hidden="0" customWidth="1"/>
  </x:cols>
  <x:sheetData>
    <x:row r="1">
      <x:c r="A1" s="74" t="str">
        <x:v>INDUSTRIAL PERFORMANCE — PLANILHA PADRÃO DE INPUT</x:v>
      </x:c>
      <x:c r="B1" s="74"/>
      <x:c r="C1" s="74"/>
      <x:c r="D1" s="74"/>
      <x:c r="E1" s="74"/>
      <x:c r="F1" s="74"/>
    </x:row>
    <x:row r="3">
      <x:c r="A3" s="77" t="str">
        <x:v>Aba</x:v>
      </x:c>
      <x:c r="B3" s="78" t="str">
        <x:v>Objetivo</x:v>
      </x:c>
      <x:c r="C3" s="78" t="str">
        <x:v>Obrigatória?</x:v>
      </x:c>
      <x:c r="D3" s="78" t="str">
        <x:v>Quem preenche</x:v>
      </x:c>
      <x:c r="E3" s="78" t="str">
        <x:v>Regra principal</x:v>
      </x:c>
      <x:c r="F3" s="79" t="str">
        <x:v>Uso no modelo</x:v>
      </x:c>
    </x:row>
    <x:row r="4">
      <x:c r="A4" s="27" t="str">
        <x:v>Producao</x:v>
      </x:c>
      <x:c r="B4" s="19" t="str">
        <x:v>Plano, realizado, horas e velocidade</x:v>
      </x:c>
      <x:c r="C4" s="19" t="str">
        <x:v>Sim</x:v>
      </x:c>
      <x:c r="D4" s="19" t="str">
        <x:v>Produção / PCP</x:v>
      </x:c>
      <x:c r="E4" s="19" t="str">
        <x:v>1 linha por data/linha/produto</x:v>
      </x:c>
      <x:c r="F4" s="28" t="str">
        <x:v>Produção, capacidade, OEE</x:v>
      </x:c>
    </x:row>
    <x:row r="5">
      <x:c r="A5" s="27" t="str">
        <x:v>Qualidade</x:v>
      </x:c>
      <x:c r="B5" s="19" t="str">
        <x:v>Produzido, aprovado, refugo e retrabalho</x:v>
      </x:c>
      <x:c r="C5" s="19" t="str">
        <x:v>Sim</x:v>
      </x:c>
      <x:c r="D5" s="19" t="str">
        <x:v>Qualidade</x:v>
      </x:c>
      <x:c r="E5" s="19" t="str">
        <x:v>Produto deve existir em Padroes_Produto</x:v>
      </x:c>
      <x:c r="F5" s="28" t="str">
        <x:v>Qualidade, perdas e HH padrão ganhas</x:v>
      </x:c>
    </x:row>
    <x:row r="6">
      <x:c r="A6" s="27" t="str">
        <x:v>Manutencao</x:v>
      </x:c>
      <x:c r="B6" s="19" t="str">
        <x:v>Paradas por máquina e causa</x:v>
      </x:c>
      <x:c r="C6" s="19" t="str">
        <x:v>Sim</x:v>
      </x:c>
      <x:c r="D6" s="19" t="str">
        <x:v>Manutenção</x:v>
      </x:c>
      <x:c r="E6" s="19" t="str">
        <x:v>Causa e duração obrigatórias</x:v>
      </x:c>
      <x:c r="F6" s="28" t="str">
        <x:v>Diagnóstico causal e impacto</x:v>
      </x:c>
    </x:row>
    <x:row r="7">
      <x:c r="A7" s="27" t="str">
        <x:v>Pessoas</x:v>
      </x:c>
      <x:c r="B7" s="19" t="str">
        <x:v>Horas normais, extras e operadores</x:v>
      </x:c>
      <x:c r="C7" s="19" t="str">
        <x:v>Sim</x:v>
      </x:c>
      <x:c r="D7" s="19" t="str">
        <x:v>Produção / RH</x:v>
      </x:c>
      <x:c r="E7" s="19" t="str">
        <x:v>Horas em homem-hora</x:v>
      </x:c>
      <x:c r="F7" s="28" t="str">
        <x:v>Eficiência MOD e custo</x:v>
      </x:c>
    </x:row>
    <x:row r="8">
      <x:c r="A8" s="27" t="str">
        <x:v>Custos</x:v>
      </x:c>
      <x:c r="B8" s="19" t="str">
        <x:v>Custos e receita</x:v>
      </x:c>
      <x:c r="C8" s="19" t="str">
        <x:v>Sim</x:v>
      </x:c>
      <x:c r="D8" s="19" t="str">
        <x:v>Controladoria</x:v>
      </x:c>
      <x:c r="E8" s="19" t="str">
        <x:v>Separar custo fixo quando possível</x:v>
      </x:c>
      <x:c r="F8" s="28" t="str">
        <x:v>DRE e impacto financeiro</x:v>
      </x:c>
    </x:row>
    <x:row r="9">
      <x:c r="A9" s="27" t="str">
        <x:v>Metas</x:v>
      </x:c>
      <x:c r="B9" s="19" t="str">
        <x:v>Meta de todos os KPIs críticos</x:v>
      </x:c>
      <x:c r="C9" s="19" t="str">
        <x:v>Sim</x:v>
      </x:c>
      <x:c r="D9" s="19" t="str">
        <x:v>Gestão / Controladoria</x:v>
      </x:c>
      <x:c r="E9" s="19" t="str">
        <x:v>KPI sem meta é risco de gestão e penaliza saúde</x:v>
      </x:c>
      <x:c r="F9" s="28" t="str">
        <x:v>Score de saúde</x:v>
      </x:c>
    </x:row>
    <x:row r="10">
      <x:c r="A10" s="27" t="str">
        <x:v>Padroes_Produto</x:v>
      </x:c>
      <x:c r="B10" s="19" t="str">
        <x:v>Tempo padrão, operadores, HH, MP e custo padrão</x:v>
      </x:c>
      <x:c r="C10" s="19" t="str">
        <x:v>Sim para multiproduto</x:v>
      </x:c>
      <x:c r="D10" s="19" t="str">
        <x:v>Engenharia / Processos</x:v>
      </x:c>
      <x:c r="E10" s="19" t="str">
        <x:v>Base para linearizar mix</x:v>
      </x:c>
      <x:c r="F10" s="28" t="str">
        <x:v>Produtividade equivalente e capacidade</x:v>
      </x:c>
    </x:row>
    <x:row r="11">
      <x:c r="A11" s="29" t="str">
        <x:v>Parametros_Diagnostico</x:v>
      </x:c>
      <x:c r="B11" s="30" t="str">
        <x:v>Esforço, horizonte e responsáveis por alavanca</x:v>
      </x:c>
      <x:c r="C11" s="30" t="str">
        <x:v>Recomendado</x:v>
      </x:c>
      <x:c r="D11" s="30" t="str">
        <x:v>Gestão / Consultoria</x:v>
      </x:c>
      <x:c r="E11" s="30" t="str">
        <x:v>Esforço 1 a 5</x:v>
      </x:c>
      <x:c r="F11" s="31" t="str">
        <x:v>Matriz esforço x resultado e plano de ação</x:v>
      </x:c>
    </x:row>
    <x:row r="12">
      <x:c r="A12" s="107" t="str">
        <x:v>Responsaveis</x:v>
      </x:c>
      <x:c r="B12" s="108" t="str">
        <x:v>Cadastro de responsáveis e e-mails corporativos</x:v>
      </x:c>
      <x:c r="C12" s="108" t="str">
        <x:v>Recomendado</x:v>
      </x:c>
      <x:c r="D12" s="108" t="str">
        <x:v>Gestão / RH / PMO</x:v>
      </x:c>
      <x:c r="E12" s="108" t="str">
        <x:v>Usar e-mail corporativo válido</x:v>
      </x:c>
      <x:c r="F12" s="109" t="str">
        <x:v>Comunicação e integração do Plano de Ação</x:v>
      </x:c>
    </x:row>
    <x:row r="13">
      <x:c r="A13" s="134" t="str">
        <x:v>Alavancas_Simulador</x:v>
      </x:c>
      <x:c r="B13" s="135" t="str">
        <x:v>Escopo oficial das 26 alavancas do simulador</x:v>
      </x:c>
      <x:c r="C13" s="135" t="str">
        <x:v>Sim</x:v>
      </x:c>
      <x:c r="D13" s="135" t="str">
        <x:v>Gestão / Consultoria</x:v>
      </x:c>
      <x:c r="E13" s="135" t="str">
        <x:v>Não remover/renomear sem alinhamento</x:v>
      </x:c>
      <x:c r="F13" s="136" t="str">
        <x:v>Define grupos, impactos e dependências</x:v>
      </x:c>
    </x:row>
    <x:row r="14">
      <x:c r="A14" s="29" t="str">
        <x:v>Premissas_Simulador</x:v>
      </x:c>
      <x:c r="B14" s="30" t="str">
        <x:v>Premissas financeiras e operacionais do motor</x:v>
      </x:c>
      <x:c r="C14" s="30" t="str">
        <x:v>Recomendado</x:v>
      </x:c>
      <x:c r="D14" s="30" t="str">
        <x:v>Controladoria / Operações</x:v>
      </x:c>
      <x:c r="E14" s="30" t="str">
        <x:v>Calibrar por planta/cliente</x:v>
      </x:c>
      <x:c r="F14" s="31" t="str">
        <x:v>Torna cálculo auditável e configurável</x:v>
      </x:c>
    </x:row>
    <x:row r="15">
      <x:c r="A15" s="89"/>
      <x:c r="B15" s="89"/>
      <x:c r="C15" s="89"/>
      <x:c r="D15" s="89"/>
      <x:c r="E15" s="89"/>
      <x:c r="F15" s="89"/>
    </x:row>
    <x:row r="16">
      <x:c r="A16" s="89"/>
      <x:c r="B16" s="89"/>
      <x:c r="C16" s="89"/>
      <x:c r="D16" s="89"/>
      <x:c r="E16" s="89"/>
      <x:c r="F16" s="89"/>
    </x:row>
    <x:row r="17">
      <x:c r="A17" s="89"/>
      <x:c r="B17" s="89"/>
      <x:c r="C17" s="89"/>
      <x:c r="D17" s="89"/>
      <x:c r="E17" s="89"/>
      <x:c r="F17" s="89"/>
    </x:row>
    <x:row r="19">
      <x:c r="A19" s="94" t="str">
        <x:v>REGRA DE SAÚDE FINANCEIRA</x:v>
      </x:c>
      <x:c r="B19" s="94"/>
      <x:c r="C19" s="94"/>
      <x:c r="D19" s="94"/>
      <x:c r="E19" s="94"/>
      <x:c r="F19" s="94"/>
    </x:row>
    <x:row r="20">
      <x:c r="A20" s="89" t="str">
        <x:v>Todos os KPIs críticos entram no score. KPI sem meta não é ignorado: é classificado como risco de gestão e penaliza a saúde. O peso aumenta conforme o impacto econômico atribuível do indicador em receita, margem, EBITDA ou caixa, preservando um peso mínimo de gestão. O motor evita dupla contagem: por exemplo, OEE explica a perda de volume, mas o mesmo impacto financeiro não deve ser somado novamente como perda de produção.</x:v>
      </x:c>
      <x:c r="B20" s="89"/>
      <x:c r="C20" s="89"/>
      <x:c r="D20" s="89"/>
      <x:c r="E20" s="89"/>
      <x:c r="F20" s="89"/>
    </x:row>
    <x:row r="21">
      <x:c r="A21" s="89"/>
      <x:c r="B21" s="89"/>
      <x:c r="C21" s="89"/>
      <x:c r="D21" s="89"/>
      <x:c r="E21" s="89"/>
      <x:c r="F21" s="89"/>
    </x:row>
    <x:row r="22">
      <x:c r="A22" s="173" t="str">
        <x:v>DRE GERENCIAL E SIMULADOR — v0.6.3.1</x:v>
      </x:c>
      <x:c r="B22" s="173"/>
      <x:c r="C22" s="173"/>
      <x:c r="D22" s="173"/>
      <x:c r="E22" s="173"/>
      <x:c r="F22" s="173"/>
    </x:row>
    <x:row r="23">
      <x:c r="A23" s="19" t="str">
        <x:v>DRE_Gerencial</x:v>
      </x:c>
      <x:c r="B23" s="19" t="str">
        <x:v>Fonte financeira preferencial. Segrega Receita, Insumos/MP, MOD, GGF, Custos Fixos Industriais e Despesas.</x:v>
      </x:c>
      <x:c r="C23" s="89"/>
      <x:c r="D23" s="89"/>
      <x:c r="E23" s="89"/>
      <x:c r="F23" s="89"/>
    </x:row>
    <x:row r="24">
      <x:c r="A24" s="19" t="str">
        <x:v>GGF_Frete</x:v>
      </x:c>
      <x:c r="B24" s="19" t="str">
        <x:v>O frete é classificado em GGF conforme a regra gerencial definida para o produto.</x:v>
      </x:c>
      <x:c r="C24" s="89"/>
      <x:c r="D24" s="89"/>
      <x:c r="E24" s="89"/>
      <x:c r="F24" s="89"/>
    </x:row>
    <x:row r="25">
      <x:c r="A25" s="19" t="str">
        <x:v>Plano_Contas_DRE</x:v>
      </x:c>
      <x:c r="B25" s="19" t="str">
        <x:v>Dicionário canônico para o DE/PARA de contas financeiras e futuras integrações ERP.</x:v>
      </x:c>
    </x:row>
    <x:row r="26">
      <x:c r="A26" s="19" t="str">
        <x:v>Simulador</x:v>
      </x:c>
      <x:c r="B26" s="19" t="str">
        <x:v>As 26 alavancas agora usam valor Atual → Meta. Percentual de melhoria é calculado, não informado pelo usuário.</x:v>
      </x:c>
    </x:row>
    <x:row r="27">
      <x:c r="A27" s="19" t="str">
        <x:v>Preço x Volume</x:v>
      </x:c>
      <x:c r="B27" s="19" t="str">
        <x:v>Receita simulada = volume simulado × preço simulado. O efeito preço usa o volume do cenário.</x:v>
      </x:c>
    </x:row>
    <x:row r="28">
      <x:c r="A28" s="19" t="str">
        <x:v>OTIF</x:v>
      </x:c>
      <x:c r="B28" s="19" t="str">
        <x:v>Mostra receita protegida / adicional em risco separadamente. Não entra automaticamente na DRE ou EBITDA.</x:v>
      </x:c>
    </x:row>
  </x:sheetData>
  <x:mergeCells>
    <x:mergeCell ref="A1:F1"/>
    <x:mergeCell ref="A13:F13"/>
    <x:mergeCell ref="A14:F17"/>
    <x:mergeCell ref="A19:F19"/>
    <x:mergeCell ref="A20:F24"/>
    <x:mergeCell ref="A22:F2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2" hidden="0" customWidth="1"/>
    <x:col min="5" max="5" width="34" hidden="0" customWidth="1"/>
  </x:cols>
  <x:sheetData>
    <x:row r="1">
      <x:c r="A1" s="103" t="str">
        <x:v>Responsavel</x:v>
      </x:c>
      <x:c r="B1" s="104" t="str">
        <x:v>Cargo_Funcao</x:v>
      </x:c>
      <x:c r="C1" s="104" t="str">
        <x:v>Area</x:v>
      </x:c>
      <x:c r="D1" s="104" t="str">
        <x:v>Email</x:v>
      </x:c>
      <x:c r="E1" s="105" t="str">
        <x:v>Observacao</x:v>
      </x:c>
    </x:row>
    <x:row r="2">
      <x:c r="A2" s="27" t="str">
        <x:v>Ger. Manutenção</x:v>
      </x:c>
      <x:c r="B2" s="106" t="str">
        <x:v>Gerente de Manutenção</x:v>
      </x:c>
      <x:c r="C2" s="106" t="str">
        <x:v>Manutenção</x:v>
      </x:c>
      <x:c r="D2" s="106" t="str"/>
      <x:c r="E2" s="28" t="str">
        <x:v>Preencher e-mail corporativo</x:v>
      </x:c>
    </x:row>
    <x:row r="3">
      <x:c r="A3" s="27" t="str">
        <x:v>Ger. Qualidade</x:v>
      </x:c>
      <x:c r="B3" s="106" t="str">
        <x:v>Gerente de Qualidade</x:v>
      </x:c>
      <x:c r="C3" s="106" t="str">
        <x:v>Qualidade</x:v>
      </x:c>
      <x:c r="D3" s="106" t="str"/>
      <x:c r="E3" s="28" t="str">
        <x:v>Preencher e-mail corporativo</x:v>
      </x:c>
    </x:row>
    <x:row r="4">
      <x:c r="A4" s="27" t="str">
        <x:v>Ger. Produção</x:v>
      </x:c>
      <x:c r="B4" s="106" t="str">
        <x:v>Gerente de Produção</x:v>
      </x:c>
      <x:c r="C4" s="106" t="str">
        <x:v>Produção</x:v>
      </x:c>
      <x:c r="D4" s="106" t="str"/>
      <x:c r="E4" s="28" t="str">
        <x:v>Preencher e-mail corporativo</x:v>
      </x:c>
    </x:row>
    <x:row r="5">
      <x:c r="A5" s="27" t="str">
        <x:v>Ger. Industrial</x:v>
      </x:c>
      <x:c r="B5" s="106" t="str">
        <x:v>Gerente Industrial</x:v>
      </x:c>
      <x:c r="C5" s="106" t="str">
        <x:v>Operações</x:v>
      </x:c>
      <x:c r="D5" s="106" t="str"/>
      <x:c r="E5" s="28" t="str">
        <x:v>Preencher e-mail corporativo</x:v>
      </x:c>
    </x:row>
    <x:row r="6">
      <x:c r="A6" s="27" t="str">
        <x:v>Controller / Operações</x:v>
      </x:c>
      <x:c r="B6" s="106" t="str">
        <x:v>Controller / Operações</x:v>
      </x:c>
      <x:c r="C6" s="106" t="str">
        <x:v>Finanças / Operações</x:v>
      </x:c>
      <x:c r="D6" s="106" t="str"/>
      <x:c r="E6" s="28" t="str">
        <x:v>Preencher e-mail corporativo</x:v>
      </x:c>
    </x:row>
    <x:row r="7">
      <x:c r="A7" s="29" t="str">
        <x:v>Engenharia de Processos</x:v>
      </x:c>
      <x:c r="B7" s="30" t="str">
        <x:v>Engenharia de Processos</x:v>
      </x:c>
      <x:c r="C7" s="30" t="str">
        <x:v>Engenharia</x:v>
      </x:c>
      <x:c r="D7" s="30" t="str"/>
      <x:c r="E7" s="31" t="str">
        <x:v>Preencher e-mail corporativo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  <x:col min="8" max="8" width="25" hidden="0" customWidth="1"/>
    <x:col min="9" max="9" width="30" hidden="0" customWidth="1"/>
    <x:col min="10" max="10" width="12" hidden="0" customWidth="1"/>
    <x:col min="11" max="11" width="10" hidden="0" customWidth="1"/>
    <x:col min="12" max="12" width="48" hidden="0" customWidth="1"/>
  </x:cols>
  <x:sheetData>
    <x:row r="1">
      <x:c r="A1" s="163" t="str">
        <x:v>Grupo</x:v>
      </x:c>
      <x:c r="B1" s="164" t="str">
        <x:v>Alavanca</x:v>
      </x:c>
      <x:c r="C1" s="164" t="str">
        <x:v>Formato</x:v>
      </x:c>
      <x:c r="D1" s="164" t="str">
        <x:v>Atual_Exemplo</x:v>
      </x:c>
      <x:c r="E1" s="164" t="str">
        <x:v>Meta_Exemplo</x:v>
      </x:c>
      <x:c r="F1" s="164" t="str">
        <x:v>Unidade</x:v>
      </x:c>
      <x:c r="G1" s="164" t="str">
        <x:v>Impacto_Principal</x:v>
      </x:c>
      <x:c r="H1" s="164" t="str">
        <x:v>Impacto_Secundario</x:v>
      </x:c>
      <x:c r="I1" s="164" t="str">
        <x:v>Dependencia</x:v>
      </x:c>
      <x:c r="J1" s="164" t="str">
        <x:v>Confianca</x:v>
      </x:c>
      <x:c r="K1" s="164" t="str">
        <x:v>Ativa</x:v>
      </x:c>
      <x:c r="L1" s="165" t="str">
        <x:v>Observacao</x:v>
      </x:c>
    </x:row>
    <x:row r="2" ht="36" customHeight="1">
      <x:c r="A2" s="27" t="str">
        <x:v>Produção</x:v>
      </x:c>
      <x:c r="B2" s="106" t="str">
        <x:v>OEE</x:v>
      </x:c>
      <x:c r="C2" s="106" t="str">
        <x:v>Meta</x:v>
      </x:c>
      <x:c r="D2" s="106" t="n">
        <x:v>71.4</x:v>
      </x:c>
      <x:c r="E2" s="106" t="n">
        <x:v>78</x:v>
      </x:c>
      <x:c r="F2" s="106" t="str">
        <x:v>%</x:v>
      </x:c>
      <x:c r="G2" s="106" t="str">
        <x:v>Capacidade / volume</x:v>
      </x:c>
      <x:c r="H2" s="106" t="str">
        <x:v>Receita / margem / EBITDA</x:v>
      </x:c>
      <x:c r="I2" s="106" t="str">
        <x:v>OEE direto OU drivers</x:v>
      </x:c>
      <x:c r="J2" s="106" t="str">
        <x:v>Alta</x:v>
      </x:c>
      <x:c r="K2" s="106" t="str">
        <x:v>Sim</x:v>
      </x:c>
      <x:c r="L2" s="28" t="str">
        <x:v>Entrada por valor-meta; não usar % de ganho.</x:v>
      </x:c>
    </x:row>
    <x:row r="3" ht="36" customHeight="1">
      <x:c r="A3" s="27" t="str">
        <x:v>Produção</x:v>
      </x:c>
      <x:c r="B3" s="106" t="str">
        <x:v>Disponibilidade</x:v>
      </x:c>
      <x:c r="C3" s="106" t="str">
        <x:v>Meta</x:v>
      </x:c>
      <x:c r="D3" s="106" t="n">
        <x:v>74.8</x:v>
      </x:c>
      <x:c r="E3" s="106" t="n">
        <x:v>82</x:v>
      </x:c>
      <x:c r="F3" s="106" t="str">
        <x:v>%</x:v>
      </x:c>
      <x:c r="G3" s="106" t="str">
        <x:v>Capacidade recuperada</x:v>
      </x:c>
      <x:c r="H3" s="106" t="str">
        <x:v>Volume / EBITDA</x:v>
      </x:c>
      <x:c r="I3" s="106" t="str">
        <x:v>Driver do OEE</x:v>
      </x:c>
      <x:c r="J3" s="106" t="str">
        <x:v>Alta</x:v>
      </x:c>
      <x:c r="K3" s="106" t="str">
        <x:v>Sim</x:v>
      </x:c>
      <x:c r="L3" s="28" t="str">
        <x:v>Atual → Meta.</x:v>
      </x:c>
    </x:row>
    <x:row r="4" ht="36" customHeight="1">
      <x:c r="A4" s="27" t="str">
        <x:v>Produção</x:v>
      </x:c>
      <x:c r="B4" s="106" t="str">
        <x:v>Performance</x:v>
      </x:c>
      <x:c r="C4" s="106" t="str">
        <x:v>Meta</x:v>
      </x:c>
      <x:c r="D4" s="106" t="n">
        <x:v>94.5</x:v>
      </x:c>
      <x:c r="E4" s="106" t="n">
        <x:v>97</x:v>
      </x:c>
      <x:c r="F4" s="106" t="str">
        <x:v>%</x:v>
      </x:c>
      <x:c r="G4" s="106" t="str">
        <x:v>Produção adicional</x:v>
      </x:c>
      <x:c r="H4" s="106" t="str">
        <x:v>Volume / EBITDA</x:v>
      </x:c>
      <x:c r="I4" s="106" t="str">
        <x:v>Driver do OEE</x:v>
      </x:c>
      <x:c r="J4" s="106" t="str">
        <x:v>Alta</x:v>
      </x:c>
      <x:c r="K4" s="106" t="str">
        <x:v>Sim</x:v>
      </x:c>
      <x:c r="L4" s="28" t="str">
        <x:v>Atual → Meta.</x:v>
      </x:c>
    </x:row>
    <x:row r="5" ht="36" customHeight="1">
      <x:c r="A5" s="27" t="str">
        <x:v>Produção</x:v>
      </x:c>
      <x:c r="B5" s="106" t="str">
        <x:v>Capacidade utilizada</x:v>
      </x:c>
      <x:c r="C5" s="106" t="str">
        <x:v>Meta</x:v>
      </x:c>
      <x:c r="D5" s="106" t="n">
        <x:v>72</x:v>
      </x:c>
      <x:c r="E5" s="106" t="n">
        <x:v>80</x:v>
      </x:c>
      <x:c r="F5" s="106" t="str">
        <x:v>%</x:v>
      </x:c>
      <x:c r="G5" s="106" t="str">
        <x:v>Capacidade / absorção</x:v>
      </x:c>
      <x:c r="H5" s="106" t="str">
        <x:v>Volume</x:v>
      </x:c>
      <x:c r="I5" s="106" t="str">
        <x:v>Limitada por demanda</x:v>
      </x:c>
      <x:c r="J5" s="106" t="str">
        <x:v>Média</x:v>
      </x:c>
      <x:c r="K5" s="106" t="str">
        <x:v>Sim</x:v>
      </x:c>
      <x:c r="L5" s="28" t="str">
        <x:v>Não reduz custo fixo total automaticamente.</x:v>
      </x:c>
    </x:row>
    <x:row r="6" ht="36" customHeight="1">
      <x:c r="A6" s="27" t="str">
        <x:v>Qualidade</x:v>
      </x:c>
      <x:c r="B6" s="106" t="str">
        <x:v>Refugo</x:v>
      </x:c>
      <x:c r="C6" s="106" t="str">
        <x:v>Meta</x:v>
      </x:c>
      <x:c r="D6" s="106" t="n">
        <x:v>3.8</x:v>
      </x:c>
      <x:c r="E6" s="106" t="n">
        <x:v>2.5</x:v>
      </x:c>
      <x:c r="F6" s="106" t="str">
        <x:v>%</x:v>
      </x:c>
      <x:c r="G6" s="106" t="str">
        <x:v>Insumos / yield</x:v>
      </x:c>
      <x:c r="H6" s="106" t="str">
        <x:v>Margem / EBITDA</x:v>
      </x:c>
      <x:c r="I6" s="106" t="str">
        <x:v>Custo de MP</x:v>
      </x:c>
      <x:c r="J6" s="106" t="str">
        <x:v>Alta</x:v>
      </x:c>
      <x:c r="K6" s="106" t="str">
        <x:v>Sim</x:v>
      </x:c>
      <x:c r="L6" s="28" t="str">
        <x:v>Meta de taxa, não redução percentual.</x:v>
      </x:c>
    </x:row>
    <x:row r="7" ht="36" customHeight="1">
      <x:c r="A7" s="27" t="str">
        <x:v>Qualidade</x:v>
      </x:c>
      <x:c r="B7" s="106" t="str">
        <x:v>Retrabalho</x:v>
      </x:c>
      <x:c r="C7" s="106" t="str">
        <x:v>Meta</x:v>
      </x:c>
      <x:c r="D7" s="106" t="n">
        <x:v>4.2</x:v>
      </x:c>
      <x:c r="E7" s="106" t="n">
        <x:v>2</x:v>
      </x:c>
      <x:c r="F7" s="106" t="str">
        <x:v>%</x:v>
      </x:c>
      <x:c r="G7" s="106" t="str">
        <x:v>MOD / Energia</x:v>
      </x:c>
      <x:c r="H7" s="106" t="str">
        <x:v>Capacidade</x:v>
      </x:c>
      <x:c r="I7" s="106" t="str">
        <x:v>Custo de retrabalho</x:v>
      </x:c>
      <x:c r="J7" s="106" t="str">
        <x:v>Alta</x:v>
      </x:c>
      <x:c r="K7" s="106" t="str">
        <x:v>Sim</x:v>
      </x:c>
      <x:c r="L7" s="28" t="str">
        <x:v>Meta de taxa.</x:v>
      </x:c>
    </x:row>
    <x:row r="8" ht="36" customHeight="1">
      <x:c r="A8" s="27" t="str">
        <x:v>Processo</x:v>
      </x:c>
      <x:c r="B8" s="106" t="str">
        <x:v>Setup médio</x:v>
      </x:c>
      <x:c r="C8" s="106" t="str">
        <x:v>Meta</x:v>
      </x:c>
      <x:c r="D8" s="106" t="n">
        <x:v>48</x:v>
      </x:c>
      <x:c r="E8" s="106" t="n">
        <x:v>35</x:v>
      </x:c>
      <x:c r="F8" s="106" t="str">
        <x:v>min</x:v>
      </x:c>
      <x:c r="G8" s="106" t="str">
        <x:v>Horas disponíveis</x:v>
      </x:c>
      <x:c r="H8" s="106" t="str">
        <x:v>Capacidade</x:v>
      </x:c>
      <x:c r="I8" s="106" t="str">
        <x:v>Driver de disponibilidade</x:v>
      </x:c>
      <x:c r="J8" s="106" t="str">
        <x:v>Alta</x:v>
      </x:c>
      <x:c r="K8" s="106" t="str">
        <x:v>Sim</x:v>
      </x:c>
      <x:c r="L8" s="28" t="str">
        <x:v>Meta em minutos.</x:v>
      </x:c>
    </x:row>
    <x:row r="9" ht="36" customHeight="1">
      <x:c r="A9" s="27" t="str">
        <x:v>Processo</x:v>
      </x:c>
      <x:c r="B9" s="106" t="str">
        <x:v>Paradas não planejadas</x:v>
      </x:c>
      <x:c r="C9" s="106" t="str">
        <x:v>Meta</x:v>
      </x:c>
      <x:c r="D9" s="106" t="n">
        <x:v>112</x:v>
      </x:c>
      <x:c r="E9" s="106" t="n">
        <x:v>89.6</x:v>
      </x:c>
      <x:c r="F9" s="106" t="str">
        <x:v>h</x:v>
      </x:c>
      <x:c r="G9" s="106" t="str">
        <x:v>Disponibilidade</x:v>
      </x:c>
      <x:c r="H9" s="106" t="str">
        <x:v>Capacidade</x:v>
      </x:c>
      <x:c r="I9" s="106" t="str">
        <x:v>Driver de disponibilidade</x:v>
      </x:c>
      <x:c r="J9" s="106" t="str">
        <x:v>Alta</x:v>
      </x:c>
      <x:c r="K9" s="106" t="str">
        <x:v>Sim</x:v>
      </x:c>
      <x:c r="L9" s="28" t="str">
        <x:v>Horas atuais → horas meta.</x:v>
      </x:c>
    </x:row>
    <x:row r="10" ht="36" customHeight="1">
      <x:c r="A10" s="27" t="str">
        <x:v>Processo</x:v>
      </x:c>
      <x:c r="B10" s="106" t="str">
        <x:v>MTTR</x:v>
      </x:c>
      <x:c r="C10" s="106" t="str">
        <x:v>Meta</x:v>
      </x:c>
      <x:c r="D10" s="106" t="n">
        <x:v>95</x:v>
      </x:c>
      <x:c r="E10" s="106" t="n">
        <x:v>70</x:v>
      </x:c>
      <x:c r="F10" s="106" t="str">
        <x:v>min</x:v>
      </x:c>
      <x:c r="G10" s="106" t="str">
        <x:v>Tempo recuperado</x:v>
      </x:c>
      <x:c r="H10" s="106" t="str">
        <x:v>Disponibilidade</x:v>
      </x:c>
      <x:c r="I10" s="106" t="str">
        <x:v>Driver de disponibilidade</x:v>
      </x:c>
      <x:c r="J10" s="106" t="str">
        <x:v>Alta</x:v>
      </x:c>
      <x:c r="K10" s="106" t="str">
        <x:v>Sim</x:v>
      </x:c>
      <x:c r="L10" s="28" t="str">
        <x:v>Meta em minutos.</x:v>
      </x:c>
    </x:row>
    <x:row r="11" ht="36" customHeight="1">
      <x:c r="A11" s="27" t="str">
        <x:v>Pessoas</x:v>
      </x:c>
      <x:c r="B11" s="106" t="str">
        <x:v>Horas extras</x:v>
      </x:c>
      <x:c r="C11" s="106" t="str">
        <x:v>Meta</x:v>
      </x:c>
      <x:c r="D11" s="106" t="n">
        <x:v>1280</x:v>
      </x:c>
      <x:c r="E11" s="106" t="n">
        <x:v>960</x:v>
      </x:c>
      <x:c r="F11" s="106" t="str">
        <x:v>h</x:v>
      </x:c>
      <x:c r="G11" s="106" t="str">
        <x:v>MOD</x:v>
      </x:c>
      <x:c r="H11" s="106" t="str">
        <x:v>EBITDA</x:v>
      </x:c>
      <x:c r="I11" s="106" t="str">
        <x:v>Custo/hora real + adicional</x:v>
      </x:c>
      <x:c r="J11" s="106" t="str">
        <x:v>Alta</x:v>
      </x:c>
      <x:c r="K11" s="106" t="str">
        <x:v>Sim</x:v>
      </x:c>
      <x:c r="L11" s="28" t="str">
        <x:v>Sem custo/hora hardcoded.</x:v>
      </x:c>
    </x:row>
    <x:row r="12" ht="36" customHeight="1">
      <x:c r="A12" s="27" t="str">
        <x:v>Pessoas</x:v>
      </x:c>
      <x:c r="B12" s="106" t="str">
        <x:v>Produtividade</x:v>
      </x:c>
      <x:c r="C12" s="106" t="str">
        <x:v>Meta</x:v>
      </x:c>
      <x:c r="D12" s="106" t="n">
        <x:v>18.2</x:v>
      </x:c>
      <x:c r="E12" s="106" t="n">
        <x:v>20</x:v>
      </x:c>
      <x:c r="F12" s="106" t="str">
        <x:v>un/h equivalente</x:v>
      </x:c>
      <x:c r="G12" s="106" t="str">
        <x:v>Capacidade / MOD</x:v>
      </x:c>
      <x:c r="H12" s="106" t="str">
        <x:v>EBITDA</x:v>
      </x:c>
      <x:c r="I12" s="106" t="str">
        <x:v>Linearizar pelo mix</x:v>
      </x:c>
      <x:c r="J12" s="106" t="str">
        <x:v>Alta</x:v>
      </x:c>
      <x:c r="K12" s="106" t="str">
        <x:v>Sim</x:v>
      </x:c>
      <x:c r="L12" s="28" t="str">
        <x:v>Consolidado multiproduto usa HH padrão.</x:v>
      </x:c>
    </x:row>
    <x:row r="13" ht="36" customHeight="1">
      <x:c r="A13" s="27" t="str">
        <x:v>Pessoas</x:v>
      </x:c>
      <x:c r="B13" s="106" t="str">
        <x:v>Headcount</x:v>
      </x:c>
      <x:c r="C13" s="106" t="str">
        <x:v>Meta</x:v>
      </x:c>
      <x:c r="D13" s="106" t="n">
        <x:v>118</x:v>
      </x:c>
      <x:c r="E13" s="106" t="n">
        <x:v>118</x:v>
      </x:c>
      <x:c r="F13" s="106" t="str">
        <x:v>pessoas</x:v>
      </x:c>
      <x:c r="G13" s="106" t="str">
        <x:v>Estrutura</x:v>
      </x:c>
      <x:c r="H13" s="106" t="str">
        <x:v>EBITDA</x:v>
      </x:c>
      <x:c r="I13" s="106" t="str">
        <x:v>Evitar dupla contagem com custo fixo</x:v>
      </x:c>
      <x:c r="J13" s="106" t="str">
        <x:v>Alta</x:v>
      </x:c>
      <x:c r="K13" s="106" t="str">
        <x:v>Sim</x:v>
      </x:c>
      <x:c r="L13" s="28" t="str">
        <x:v>Quantidade atual → quantidade meta.</x:v>
      </x:c>
    </x:row>
    <x:row r="14" ht="36" customHeight="1">
      <x:c r="A14" s="27" t="str">
        <x:v>Materiais</x:v>
      </x:c>
      <x:c r="B14" s="106" t="str">
        <x:v>Consumo específico MP</x:v>
      </x:c>
      <x:c r="C14" s="106" t="str">
        <x:v>Meta</x:v>
      </x:c>
      <x:c r="D14" s="106" t="n">
        <x:v>1.04</x:v>
      </x:c>
      <x:c r="E14" s="106" t="n">
        <x:v>1</x:v>
      </x:c>
      <x:c r="F14" s="106" t="str">
        <x:v>índice ou kg/un</x:v>
      </x:c>
      <x:c r="G14" s="106" t="str">
        <x:v>Insumos</x:v>
      </x:c>
      <x:c r="H14" s="106" t="str">
        <x:v>Margem / EBITDA</x:v>
      </x:c>
      <x:c r="I14" s="106" t="str">
        <x:v>Dados físicos quando disponíveis</x:v>
      </x:c>
      <x:c r="J14" s="106" t="str">
        <x:v>Alta</x:v>
      </x:c>
      <x:c r="K14" s="106" t="str">
        <x:v>Sim</x:v>
      </x:c>
      <x:c r="L14" s="28" t="str">
        <x:v>Usar kg/un quando a base trouxer consumo.</x:v>
      </x:c>
    </x:row>
    <x:row r="15" ht="36" customHeight="1">
      <x:c r="A15" s="27" t="str">
        <x:v>Materiais</x:v>
      </x:c>
      <x:c r="B15" s="106" t="str">
        <x:v>Preço de MP</x:v>
      </x:c>
      <x:c r="C15" s="106" t="str">
        <x:v>Meta</x:v>
      </x:c>
      <x:c r="D15" s="106" t="n">
        <x:v>1</x:v>
      </x:c>
      <x:c r="E15" s="106" t="n">
        <x:v>0.97</x:v>
      </x:c>
      <x:c r="F15" s="106" t="str">
        <x:v>índice ou R$/kg</x:v>
      </x:c>
      <x:c r="G15" s="106" t="str">
        <x:v>Insumos</x:v>
      </x:c>
      <x:c r="H15" s="106" t="str">
        <x:v>Margem / EBITDA</x:v>
      </x:c>
      <x:c r="I15" s="106" t="str">
        <x:v>Preço físico quando disponível</x:v>
      </x:c>
      <x:c r="J15" s="106" t="str">
        <x:v>Alta</x:v>
      </x:c>
      <x:c r="K15" s="106" t="str">
        <x:v>Sim</x:v>
      </x:c>
      <x:c r="L15" s="28" t="str">
        <x:v>Usar R$/kg quando a base trouxer preço.</x:v>
      </x:c>
    </x:row>
    <x:row r="16" ht="36" customHeight="1">
      <x:c r="A16" s="27" t="str">
        <x:v>Materiais</x:v>
      </x:c>
      <x:c r="B16" s="106" t="str">
        <x:v>Perdas de material</x:v>
      </x:c>
      <x:c r="C16" s="106" t="str">
        <x:v>Meta</x:v>
      </x:c>
      <x:c r="D16" s="106" t="n">
        <x:v>4</x:v>
      </x:c>
      <x:c r="E16" s="106" t="n">
        <x:v>3.4</x:v>
      </x:c>
      <x:c r="F16" s="106" t="str">
        <x:v>%</x:v>
      </x:c>
      <x:c r="G16" s="106" t="str">
        <x:v>Insumos</x:v>
      </x:c>
      <x:c r="H16" s="106" t="str">
        <x:v>EBITDA</x:v>
      </x:c>
      <x:c r="I16" s="106" t="str">
        <x:v>Separada de refugo</x:v>
      </x:c>
      <x:c r="J16" s="106" t="str">
        <x:v>Alta</x:v>
      </x:c>
      <x:c r="K16" s="106" t="str">
        <x:v>Sim</x:v>
      </x:c>
      <x:c r="L16" s="28" t="str">
        <x:v>Taxa atual → taxa meta.</x:v>
      </x:c>
    </x:row>
    <x:row r="17" ht="36" customHeight="1">
      <x:c r="A17" s="27" t="str">
        <x:v>Energia</x:v>
      </x:c>
      <x:c r="B17" s="106" t="str">
        <x:v>kWh/unidade</x:v>
      </x:c>
      <x:c r="C17" s="106" t="str">
        <x:v>Meta</x:v>
      </x:c>
      <x:c r="D17" s="106" t="n">
        <x:v>0.57</x:v>
      </x:c>
      <x:c r="E17" s="106" t="n">
        <x:v>0.5244</x:v>
      </x:c>
      <x:c r="F17" s="106" t="str">
        <x:v>kWh/un ou índice</x:v>
      </x:c>
      <x:c r="G17" s="106" t="str">
        <x:v>GGF — Energia</x:v>
      </x:c>
      <x:c r="H17" s="106" t="str">
        <x:v>EBITDA</x:v>
      </x:c>
      <x:c r="I17" s="106" t="str">
        <x:v>Acompanha volume</x:v>
      </x:c>
      <x:c r="J17" s="106" t="str">
        <x:v>Média</x:v>
      </x:c>
      <x:c r="K17" s="106" t="str">
        <x:v>Sim</x:v>
      </x:c>
      <x:c r="L17" s="28" t="str">
        <x:v>Valor físico quando disponível.</x:v>
      </x:c>
    </x:row>
    <x:row r="18" ht="36" customHeight="1">
      <x:c r="A18" s="27" t="str">
        <x:v>Logística</x:v>
      </x:c>
      <x:c r="B18" s="106" t="str">
        <x:v>Frete/unidade</x:v>
      </x:c>
      <x:c r="C18" s="106" t="str">
        <x:v>Meta</x:v>
      </x:c>
      <x:c r="D18" s="106" t="n">
        <x:v>13.41</x:v>
      </x:c>
      <x:c r="E18" s="106" t="n">
        <x:v>12.74</x:v>
      </x:c>
      <x:c r="F18" s="106" t="str">
        <x:v>R$/un</x:v>
      </x:c>
      <x:c r="G18" s="106" t="str">
        <x:v>GGF — Frete</x:v>
      </x:c>
      <x:c r="H18" s="106" t="str">
        <x:v>EBITDA</x:v>
      </x:c>
      <x:c r="I18" s="106" t="str">
        <x:v>Acompanha volume vendido</x:v>
      </x:c>
      <x:c r="J18" s="106" t="str">
        <x:v>Alta</x:v>
      </x:c>
      <x:c r="K18" s="106" t="str">
        <x:v>Sim</x:v>
      </x:c>
      <x:c r="L18" s="28" t="str">
        <x:v>Frete está em GGF.</x:v>
      </x:c>
    </x:row>
    <x:row r="19" ht="36" customHeight="1">
      <x:c r="A19" s="27" t="str">
        <x:v>Logística</x:v>
      </x:c>
      <x:c r="B19" s="106" t="str">
        <x:v>OTIF</x:v>
      </x:c>
      <x:c r="C19" s="106" t="str">
        <x:v>Meta</x:v>
      </x:c>
      <x:c r="D19" s="106" t="n">
        <x:v>89</x:v>
      </x:c>
      <x:c r="E19" s="106" t="n">
        <x:v>95</x:v>
      </x:c>
      <x:c r="F19" s="106" t="str">
        <x:v>%</x:v>
      </x:c>
      <x:c r="G19" s="106" t="str">
        <x:v>Receita protegida</x:v>
      </x:c>
      <x:c r="H19" s="106" t="str">
        <x:v>Risco / pedidos</x:v>
      </x:c>
      <x:c r="I19" s="106" t="str">
        <x:v>Fora da DRE automática</x:v>
      </x:c>
      <x:c r="J19" s="106" t="str">
        <x:v>Média</x:v>
      </x:c>
      <x:c r="K19" s="106" t="str">
        <x:v>Sim</x:v>
      </x:c>
      <x:c r="L19" s="28" t="str">
        <x:v>Não reconhecer como receita garantida.</x:v>
      </x:c>
    </x:row>
    <x:row r="20" ht="36" customHeight="1">
      <x:c r="A20" s="27" t="str">
        <x:v>Financeiro</x:v>
      </x:c>
      <x:c r="B20" s="106" t="str">
        <x:v>Preço médio</x:v>
      </x:c>
      <x:c r="C20" s="106" t="str">
        <x:v>Meta</x:v>
      </x:c>
      <x:c r="D20" s="106" t="n">
        <x:v>300.61</x:v>
      </x:c>
      <x:c r="E20" s="106" t="n">
        <x:v>306.62</x:v>
      </x:c>
      <x:c r="F20" s="106" t="str">
        <x:v>R$/un</x:v>
      </x:c>
      <x:c r="G20" s="106" t="str">
        <x:v>Receita</x:v>
      </x:c>
      <x:c r="H20" s="106" t="str">
        <x:v>EBITDA</x:v>
      </x:c>
      <x:c r="I20" s="106" t="str">
        <x:v>Aplicado ao volume simulado</x:v>
      </x:c>
      <x:c r="J20" s="106" t="str">
        <x:v>Alta</x:v>
      </x:c>
      <x:c r="K20" s="106" t="str">
        <x:v>Sim</x:v>
      </x:c>
      <x:c r="L20" s="28" t="str">
        <x:v>Receita = preço meta × volume meta.</x:v>
      </x:c>
    </x:row>
    <x:row r="21" ht="36" customHeight="1">
      <x:c r="A21" s="27" t="str">
        <x:v>Financeiro</x:v>
      </x:c>
      <x:c r="B21" s="106" t="str">
        <x:v>Mix de produtos</x:v>
      </x:c>
      <x:c r="C21" s="106" t="str">
        <x:v>Meta</x:v>
      </x:c>
      <x:c r="D21" s="106" t="n">
        <x:v>0</x:v>
      </x:c>
      <x:c r="E21" s="106" t="n">
        <x:v>1</x:v>
      </x:c>
      <x:c r="F21" s="106" t="str">
        <x:v>pp margem</x:v>
      </x:c>
      <x:c r="G21" s="106" t="str">
        <x:v>Margem</x:v>
      </x:c>
      <x:c r="H21" s="106" t="str">
        <x:v>EBITDA</x:v>
      </x:c>
      <x:c r="I21" s="106" t="str">
        <x:v>Margem incremental do mix</x:v>
      </x:c>
      <x:c r="J21" s="106" t="str">
        <x:v>Média</x:v>
      </x:c>
      <x:c r="K21" s="106" t="str">
        <x:v>Sim</x:v>
      </x:c>
      <x:c r="L21" s="28" t="str">
        <x:v>Meta em pontos percentuais de margem.</x:v>
      </x:c>
    </x:row>
    <x:row r="22" ht="36" customHeight="1">
      <x:c r="A22" s="27" t="str">
        <x:v>Financeiro</x:v>
      </x:c>
      <x:c r="B22" s="106" t="str">
        <x:v>Volume vendido</x:v>
      </x:c>
      <x:c r="C22" s="106" t="str">
        <x:v>Meta</x:v>
      </x:c>
      <x:c r="D22" s="106" t="n">
        <x:v>41250</x:v>
      </x:c>
      <x:c r="E22" s="106" t="n">
        <x:v>43313</x:v>
      </x:c>
      <x:c r="F22" s="106" t="str">
        <x:v>un</x:v>
      </x:c>
      <x:c r="G22" s="106" t="str">
        <x:v>Receita</x:v>
      </x:c>
      <x:c r="H22" s="106" t="str">
        <x:v>Contribuição / EBITDA</x:v>
      </x:c>
      <x:c r="I22" s="106" t="str">
        <x:v>Limitado à capacidade</x:v>
      </x:c>
      <x:c r="J22" s="106" t="str">
        <x:v>Alta</x:v>
      </x:c>
      <x:c r="K22" s="106" t="str">
        <x:v>Sim</x:v>
      </x:c>
      <x:c r="L22" s="28" t="str">
        <x:v>Quantidade vendida atual → meta.</x:v>
      </x:c>
    </x:row>
    <x:row r="23" ht="36" customHeight="1">
      <x:c r="A23" s="27" t="str">
        <x:v>Estrutura</x:v>
      </x:c>
      <x:c r="B23" s="106" t="str">
        <x:v>Custo fixo</x:v>
      </x:c>
      <x:c r="C23" s="106" t="str">
        <x:v>Meta</x:v>
      </x:c>
      <x:c r="D23" s="106" t="n">
        <x:v>950000</x:v>
      </x:c>
      <x:c r="E23" s="106" t="n">
        <x:v>902500</x:v>
      </x:c>
      <x:c r="F23" s="106" t="str">
        <x:v>R$</x:v>
      </x:c>
      <x:c r="G23" s="106" t="str">
        <x:v>Custos Fixos Industriais</x:v>
      </x:c>
      <x:c r="H23" s="106" t="str">
        <x:v>EBITDA</x:v>
      </x:c>
      <x:c r="I23" s="106" t="str">
        <x:v>Separado de GGF</x:v>
      </x:c>
      <x:c r="J23" s="106" t="str">
        <x:v>Alta</x:v>
      </x:c>
      <x:c r="K23" s="106" t="str">
        <x:v>Sim</x:v>
      </x:c>
      <x:c r="L23" s="28" t="str">
        <x:v>Valor absoluto na DRE.</x:v>
      </x:c>
    </x:row>
    <x:row r="24" ht="36" customHeight="1">
      <x:c r="A24" s="27" t="str">
        <x:v>Estrutura</x:v>
      </x:c>
      <x:c r="B24" s="106" t="str">
        <x:v>Contratos/serviços</x:v>
      </x:c>
      <x:c r="C24" s="106" t="str">
        <x:v>Meta</x:v>
      </x:c>
      <x:c r="D24" s="106" t="n">
        <x:v>120000</x:v>
      </x:c>
      <x:c r="E24" s="106" t="n">
        <x:v>108000</x:v>
      </x:c>
      <x:c r="F24" s="106" t="str">
        <x:v>R$</x:v>
      </x:c>
      <x:c r="G24" s="106" t="str">
        <x:v>GGF — Contratos</x:v>
      </x:c>
      <x:c r="H24" s="106" t="str">
        <x:v>EBITDA</x:v>
      </x:c>
      <x:c r="I24" s="106" t="str">
        <x:v>Subgrupo de GGF</x:v>
      </x:c>
      <x:c r="J24" s="106" t="str">
        <x:v>Alta</x:v>
      </x:c>
      <x:c r="K24" s="106" t="str">
        <x:v>Sim</x:v>
      </x:c>
      <x:c r="L24" s="28" t="str">
        <x:v>Valor absoluto.</x:v>
      </x:c>
    </x:row>
    <x:row r="25" ht="36" customHeight="1">
      <x:c r="A25" s="27" t="str">
        <x:v>Capital</x:v>
      </x:c>
      <x:c r="B25" s="106" t="str">
        <x:v>Estoque</x:v>
      </x:c>
      <x:c r="C25" s="106" t="str">
        <x:v>Meta</x:v>
      </x:c>
      <x:c r="D25" s="106" t="n">
        <x:v>45</x:v>
      </x:c>
      <x:c r="E25" s="106" t="n">
        <x:v>35</x:v>
      </x:c>
      <x:c r="F25" s="106" t="str">
        <x:v>dias</x:v>
      </x:c>
      <x:c r="G25" s="106" t="str">
        <x:v>Capital de giro</x:v>
      </x:c>
      <x:c r="H25" s="106" t="str">
        <x:v>Caixa</x:v>
      </x:c>
      <x:c r="I25" s="106" t="str">
        <x:v>Fora do EBITDA</x:v>
      </x:c>
      <x:c r="J25" s="106" t="str">
        <x:v>Alta</x:v>
      </x:c>
      <x:c r="K25" s="106" t="str">
        <x:v>Sim</x:v>
      </x:c>
      <x:c r="L25" s="28" t="str">
        <x:v>Dias atuais → meta.</x:v>
      </x:c>
    </x:row>
    <x:row r="26" ht="36" customHeight="1">
      <x:c r="A26" s="27" t="str">
        <x:v>Capital</x:v>
      </x:c>
      <x:c r="B26" s="106" t="str">
        <x:v>Prazo fornecedor</x:v>
      </x:c>
      <x:c r="C26" s="106" t="str">
        <x:v>Meta</x:v>
      </x:c>
      <x:c r="D26" s="106" t="n">
        <x:v>30</x:v>
      </x:c>
      <x:c r="E26" s="106" t="n">
        <x:v>35</x:v>
      </x:c>
      <x:c r="F26" s="106" t="str">
        <x:v>dias</x:v>
      </x:c>
      <x:c r="G26" s="106" t="str">
        <x:v>Capital de giro</x:v>
      </x:c>
      <x:c r="H26" s="106" t="str">
        <x:v>Caixa</x:v>
      </x:c>
      <x:c r="I26" s="106" t="str">
        <x:v>Fora do EBITDA</x:v>
      </x:c>
      <x:c r="J26" s="106" t="str">
        <x:v>Alta</x:v>
      </x:c>
      <x:c r="K26" s="106" t="str">
        <x:v>Sim</x:v>
      </x:c>
      <x:c r="L26" s="28" t="str">
        <x:v>DPO atual → meta.</x:v>
      </x:c>
    </x:row>
    <x:row r="27" ht="36" customHeight="1">
      <x:c r="A27" s="29" t="str">
        <x:v>Capital</x:v>
      </x:c>
      <x:c r="B27" s="30" t="str">
        <x:v>Prazo cliente</x:v>
      </x:c>
      <x:c r="C27" s="30" t="str">
        <x:v>Meta</x:v>
      </x:c>
      <x:c r="D27" s="30" t="n">
        <x:v>35</x:v>
      </x:c>
      <x:c r="E27" s="30" t="n">
        <x:v>30</x:v>
      </x:c>
      <x:c r="F27" s="30" t="str">
        <x:v>dias</x:v>
      </x:c>
      <x:c r="G27" s="30" t="str">
        <x:v>Capital de giro</x:v>
      </x:c>
      <x:c r="H27" s="30" t="str">
        <x:v>Caixa</x:v>
      </x:c>
      <x:c r="I27" s="30" t="str">
        <x:v>Fora do EBITDA</x:v>
      </x:c>
      <x:c r="J27" s="30" t="str">
        <x:v>Alta</x:v>
      </x:c>
      <x:c r="K27" s="30" t="str">
        <x:v>Sim</x:v>
      </x:c>
      <x:c r="L27" s="31" t="str">
        <x:v>DSO atual → meta.</x:v>
      </x:c>
    </x:row>
  </x:sheetData>
  <x:dataValidations count="2">
    <x:dataValidation type="list" sqref="J2:J27">
      <x:formula1>"Alta,Média,Baixa"</x:formula1>
    </x:dataValidation>
    <x:dataValidation type="list" sqref="K2:K27">
      <x:formula1>"Sim,Não"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4" hidden="0" customWidth="1"/>
    <x:col min="5" max="5" width="54" hidden="0" customWidth="1"/>
  </x:cols>
  <x:sheetData>
    <x:row r="1">
      <x:c r="A1" s="169" t="str">
        <x:v>Chave</x:v>
      </x:c>
      <x:c r="B1" s="170" t="str">
        <x:v>Valor</x:v>
      </x:c>
      <x:c r="C1" s="170" t="str">
        <x:v>Unidade</x:v>
      </x:c>
      <x:c r="D1" s="170" t="str">
        <x:v>Uso no motor</x:v>
      </x:c>
      <x:c r="E1" s="171" t="str">
        <x:v>Observacao</x:v>
      </x:c>
    </x:row>
    <x:row r="2">
      <x:c r="A2" s="27" t="str">
        <x:v>capacidade_utilizada_base</x:v>
      </x:c>
      <x:c r="B2" s="106" t="n">
        <x:v>72</x:v>
      </x:c>
      <x:c r="C2" s="106" t="str">
        <x:v>%</x:v>
      </x:c>
      <x:c r="D2" s="106" t="str">
        <x:v>Baseline de capacidade</x:v>
      </x:c>
      <x:c r="E2" s="28" t="str">
        <x:v>Editar por planta quando disponível</x:v>
      </x:c>
    </x:row>
    <x:row r="3">
      <x:c r="A3" s="27" t="str">
        <x:v>setup_medio_base</x:v>
      </x:c>
      <x:c r="B3" s="106" t="n">
        <x:v>48</x:v>
      </x:c>
      <x:c r="C3" s="106" t="str">
        <x:v>min</x:v>
      </x:c>
      <x:c r="D3" s="106" t="str">
        <x:v>Fallback de setup</x:v>
      </x:c>
      <x:c r="E3" s="28" t="str">
        <x:v>Usar manutenção quando disponível</x:v>
      </x:c>
    </x:row>
    <x:row r="4">
      <x:c r="A4" s="27" t="str">
        <x:v>mttr_base</x:v>
      </x:c>
      <x:c r="B4" s="106" t="n">
        <x:v>95</x:v>
      </x:c>
      <x:c r="C4" s="106" t="str">
        <x:v>min</x:v>
      </x:c>
      <x:c r="D4" s="106" t="str">
        <x:v>Fallback de MTTR</x:v>
      </x:c>
      <x:c r="E4" s="28" t="str">
        <x:v>Usar manutenção quando disponível</x:v>
      </x:c>
    </x:row>
    <x:row r="5">
      <x:c r="A5" s="27" t="str">
        <x:v>retrabalho_base</x:v>
      </x:c>
      <x:c r="B5" s="106" t="n">
        <x:v>4.2</x:v>
      </x:c>
      <x:c r="C5" s="106" t="str">
        <x:v>%</x:v>
      </x:c>
      <x:c r="D5" s="106" t="str">
        <x:v>Fallback retrabalho</x:v>
      </x:c>
      <x:c r="E5" s="28" t="str">
        <x:v>Usar qualidade quando disponível</x:v>
      </x:c>
    </x:row>
    <x:row r="6">
      <x:c r="A6" s="27" t="str">
        <x:v>otif_base</x:v>
      </x:c>
      <x:c r="B6" s="106" t="n">
        <x:v>89</x:v>
      </x:c>
      <x:c r="C6" s="106" t="str">
        <x:v>%</x:v>
      </x:c>
      <x:c r="D6" s="106" t="str">
        <x:v>Receita protegida</x:v>
      </x:c>
      <x:c r="E6" s="28" t="str">
        <x:v>Substituir por dado logístico real</x:v>
      </x:c>
    </x:row>
    <x:row r="7">
      <x:c r="A7" s="27" t="str">
        <x:v>consumo_mp_indice_base</x:v>
      </x:c>
      <x:c r="B7" s="106" t="n">
        <x:v>1.04</x:v>
      </x:c>
      <x:c r="C7" s="106" t="str">
        <x:v>índice</x:v>
      </x:c>
      <x:c r="D7" s="106" t="str">
        <x:v>Fallback consumo MP</x:v>
      </x:c>
      <x:c r="E7" s="28" t="str">
        <x:v>1,00 = padrão; usar kg/un quando disponível</x:v>
      </x:c>
    </x:row>
    <x:row r="8">
      <x:c r="A8" s="27" t="str">
        <x:v>perdas_material_base_pct</x:v>
      </x:c>
      <x:c r="B8" s="106" t="n">
        <x:v>4</x:v>
      </x:c>
      <x:c r="C8" s="106" t="str">
        <x:v>%</x:v>
      </x:c>
      <x:c r="D8" s="106" t="str">
        <x:v>Perdas materiais fora do refugo</x:v>
      </x:c>
      <x:c r="E8" s="28" t="str">
        <x:v>Calibrar por cliente</x:v>
      </x:c>
    </x:row>
    <x:row r="9">
      <x:c r="A9" s="27" t="str">
        <x:v>custo_medio_mensal_pessoa</x:v>
      </x:c>
      <x:c r="B9" s="130" t="n">
        <x:v>8500</x:v>
      </x:c>
      <x:c r="C9" s="106" t="str">
        <x:v>R$/pessoa</x:v>
      </x:c>
      <x:c r="D9" s="106" t="str">
        <x:v>Impacto de headcount</x:v>
      </x:c>
      <x:c r="E9" s="28" t="str">
        <x:v>Usar custo real por FTE quando disponível</x:v>
      </x:c>
    </x:row>
    <x:row r="10">
      <x:c r="A10" s="27" t="str">
        <x:v>adicional_hora_extra</x:v>
      </x:c>
      <x:c r="B10" s="130" t="n">
        <x:v>0.5</x:v>
      </x:c>
      <x:c r="C10" s="106" t="str">
        <x:v>fator</x:v>
      </x:c>
      <x:c r="D10" s="106" t="str">
        <x:v>Custo incremental de hora extra</x:v>
      </x:c>
      <x:c r="E10" s="28" t="str">
        <x:v>0,50 = adicional de 50%; calibrar por convenção/cliente</x:v>
      </x:c>
    </x:row>
    <x:row r="11">
      <x:c r="A11" s="27" t="str">
        <x:v>receita_em_risco_otif</x:v>
      </x:c>
      <x:c r="B11" s="130" t="n">
        <x:v>0.12</x:v>
      </x:c>
      <x:c r="C11" s="106" t="str">
        <x:v>% receita</x:v>
      </x:c>
      <x:c r="D11" s="106" t="str">
        <x:v>Receita potencialmente afetada por OTIF</x:v>
      </x:c>
      <x:c r="E11" s="28" t="str">
        <x:v>Não entra automaticamente na DRE</x:v>
      </x:c>
    </x:row>
    <x:row r="12">
      <x:c r="A12" s="27" t="str">
        <x:v>dias_periodo</x:v>
      </x:c>
      <x:c r="B12" s="130" t="n">
        <x:v>30</x:v>
      </x:c>
      <x:c r="C12" s="106" t="str">
        <x:v>dias</x:v>
      </x:c>
      <x:c r="D12" s="106" t="str">
        <x:v>Capital de giro</x:v>
      </x:c>
      <x:c r="E12" s="28" t="str">
        <x:v>Período mensal padrão</x:v>
      </x:c>
    </x:row>
    <x:row r="13">
      <x:c r="A13" s="27" t="str">
        <x:v>estoque_dias_base</x:v>
      </x:c>
      <x:c r="B13" s="130" t="n">
        <x:v>45</x:v>
      </x:c>
      <x:c r="C13" s="106" t="str">
        <x:v>dias</x:v>
      </x:c>
      <x:c r="D13" s="106" t="str">
        <x:v>Fallback estoque</x:v>
      </x:c>
      <x:c r="E13" s="28" t="str">
        <x:v>Usar DRE/financeiro quando disponível</x:v>
      </x:c>
    </x:row>
    <x:row r="14">
      <x:c r="A14" s="27" t="str">
        <x:v>prazo_fornecedor_base</x:v>
      </x:c>
      <x:c r="B14" s="106" t="n">
        <x:v>30</x:v>
      </x:c>
      <x:c r="C14" s="106" t="str">
        <x:v>dias</x:v>
      </x:c>
      <x:c r="D14" s="106" t="str">
        <x:v>Fallback DPO</x:v>
      </x:c>
      <x:c r="E14" s="28" t="str">
        <x:v>Usar financeiro quando disponível</x:v>
      </x:c>
    </x:row>
    <x:row r="15">
      <x:c r="A15" s="27" t="str">
        <x:v>prazo_cliente_base</x:v>
      </x:c>
      <x:c r="B15" s="106" t="n">
        <x:v>35</x:v>
      </x:c>
      <x:c r="C15" s="106" t="str">
        <x:v>dias</x:v>
      </x:c>
      <x:c r="D15" s="106" t="str">
        <x:v>Fallback DSO</x:v>
      </x:c>
      <x:c r="E15" s="28" t="str">
        <x:v>Usar financeiro quando disponível</x:v>
      </x:c>
    </x:row>
    <x:row r="16">
      <x:c r="A16" s="27" t="str">
        <x:v>confianca_alta</x:v>
      </x:c>
      <x:c r="B16" s="106" t="n">
        <x:v>1</x:v>
      </x:c>
      <x:c r="C16" s="106" t="str">
        <x:v>fator</x:v>
      </x:c>
      <x:c r="D16" s="106" t="str">
        <x:v>Exibição / priorização</x:v>
      </x:c>
      <x:c r="E16" s="28" t="str"/>
    </x:row>
    <x:row r="17">
      <x:c r="A17" s="29" t="str">
        <x:v>confianca_media</x:v>
      </x:c>
      <x:c r="B17" s="30" t="n">
        <x:v>0.7</x:v>
      </x:c>
      <x:c r="C17" s="30" t="str">
        <x:v>fator</x:v>
      </x:c>
      <x:c r="D17" s="30" t="str">
        <x:v>Exibição / priorização</x:v>
      </x:c>
      <x:c r="E17" s="31" t="str"/>
    </x:row>
    <x:row r="18">
      <x:c r="A18" s="18" t="str">
        <x:v>confianca_baixa</x:v>
      </x:c>
      <x:c r="B18" s="18" t="n">
        <x:v>0.45</x:v>
      </x:c>
      <x:c r="C18" s="18" t="str">
        <x:v>fator</x:v>
      </x:c>
      <x:c r="D18" s="18" t="str">
        <x:v>Exibição / priorização</x:v>
      </x:c>
      <x:c r="E18" s="18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22" hidden="0" customWidth="1"/>
    <x:col min="12" max="12" width="14" hidden="0" customWidth="1"/>
    <x:col min="13" max="13" width="23" hidden="0" customWidth="1"/>
    <x:col min="14" max="14" width="20" hidden="0" customWidth="1"/>
    <x:col min="15" max="15" width="18" hidden="0" customWidth="1"/>
    <x:col min="16" max="16" width="18" hidden="0" customWidth="1"/>
    <x:col min="17" max="17" width="14" hidden="0" customWidth="1"/>
    <x:col min="18" max="18" width="16" hidden="0" customWidth="1"/>
    <x:col min="19" max="19" width="16" hidden="0" customWidth="1"/>
    <x:col min="20" max="20" width="18" hidden="0" customWidth="1"/>
    <x:col min="21" max="21" width="20" hidden="0" customWidth="1"/>
    <x:col min="22" max="22" width="14" hidden="0" customWidth="1"/>
    <x:col min="23" max="23" width="20" hidden="0" customWidth="1"/>
    <x:col min="24" max="24" width="18" hidden="0" customWidth="1"/>
  </x:cols>
  <x:sheetData>
    <x:row r="1">
      <x:c r="A1" s="141" t="str">
        <x:v>Competencia</x:v>
      </x:c>
      <x:c r="B1" s="141" t="str">
        <x:v>Planta</x:v>
      </x:c>
      <x:c r="C1" s="141" t="str">
        <x:v>Receita_Bruta</x:v>
      </x:c>
      <x:c r="D1" s="141" t="str">
        <x:v>Impostos_Deducoes</x:v>
      </x:c>
      <x:c r="E1" s="141" t="str">
        <x:v>Receita_Liquida</x:v>
      </x:c>
      <x:c r="F1" s="141" t="str">
        <x:v>Insumos_MP</x:v>
      </x:c>
      <x:c r="G1" s="141" t="str">
        <x:v>MOD</x:v>
      </x:c>
      <x:c r="H1" s="141" t="str">
        <x:v>GGF_Frete</x:v>
      </x:c>
      <x:c r="I1" s="141" t="str">
        <x:v>GGF_Energia</x:v>
      </x:c>
      <x:c r="J1" s="141" t="str">
        <x:v>GGF_Manutencao</x:v>
      </x:c>
      <x:c r="K1" s="141" t="str">
        <x:v>GGF_Contratos_Servicos</x:v>
      </x:c>
      <x:c r="L1" s="141" t="str">
        <x:v>GGF_Outros</x:v>
      </x:c>
      <x:c r="M1" s="141" t="str">
        <x:v>Custos_Fixos_Industriais</x:v>
      </x:c>
      <x:c r="N1" s="141" t="str">
        <x:v>Desp_Administrativas</x:v>
      </x:c>
      <x:c r="O1" s="141" t="str">
        <x:v>Desp_Comerciais</x:v>
      </x:c>
      <x:c r="P1" s="141" t="str">
        <x:v>Desp_Logisticas</x:v>
      </x:c>
      <x:c r="Q1" s="141" t="str">
        <x:v>Outros_Opex</x:v>
      </x:c>
      <x:c r="R1" s="141" t="str">
        <x:v>Volume_Vendido</x:v>
      </x:c>
      <x:c r="S1" s="141" t="str">
        <x:v>Consumo_MP_kg</x:v>
      </x:c>
      <x:c r="T1" s="141" t="str">
        <x:v>Preco_Medio_MP_kg</x:v>
      </x:c>
      <x:c r="U1" s="141" t="str">
        <x:v>Consumo_Energia_kWh</x:v>
      </x:c>
      <x:c r="V1" s="141" t="str">
        <x:v>Estoque_Dias</x:v>
      </x:c>
      <x:c r="W1" s="141" t="str">
        <x:v>Prazo_Fornecedor_Dias</x:v>
      </x:c>
      <x:c r="X1" s="141" t="str">
        <x:v>Prazo_Cliente_Dias</x:v>
      </x:c>
    </x:row>
    <x:row r="2">
      <x:c r="A2" s="143" t="n">
        <x:v>46265</x:v>
      </x:c>
      <x:c r="B2" s="142" t="str">
        <x:v>Planta Exemplo</x:v>
      </x:c>
      <x:c r="C2" s="145" t="n">
        <x:v>13200000</x:v>
      </x:c>
      <x:c r="D2" s="145" t="n">
        <x:v>800000</x:v>
      </x:c>
      <x:c r="E2" s="145" t="n">
        <x:v>12400000</x:v>
      </x:c>
      <x:c r="F2" s="145" t="n">
        <x:v>5191000</x:v>
      </x:c>
      <x:c r="G2" s="145" t="n">
        <x:v>1611000</x:v>
      </x:c>
      <x:c r="H2" s="145" t="n">
        <x:v>553000</x:v>
      </x:c>
      <x:c r="I2" s="145" t="n">
        <x:v>895000</x:v>
      </x:c>
      <x:c r="J2" s="145" t="n">
        <x:v>500000</x:v>
      </x:c>
      <x:c r="K2" s="145" t="n">
        <x:v>120000</x:v>
      </x:c>
      <x:c r="L2" s="145" t="n">
        <x:v>80000</x:v>
      </x:c>
      <x:c r="M2" s="145" t="n">
        <x:v>950000</x:v>
      </x:c>
      <x:c r="N2" s="145" t="n">
        <x:v>250000</x:v>
      </x:c>
      <x:c r="O2" s="145" t="n">
        <x:v>180000</x:v>
      </x:c>
      <x:c r="P2" s="145" t="n">
        <x:v>100000</x:v>
      </x:c>
      <x:c r="Q2" s="145" t="n">
        <x:v>70000</x:v>
      </x:c>
      <x:c r="R2" s="147" t="n">
        <x:v>41250</x:v>
      </x:c>
      <x:c r="S2" s="149" t="n">
        <x:v>61800</x:v>
      </x:c>
      <x:c r="T2" s="151" t="n">
        <x:v>84</x:v>
      </x:c>
      <x:c r="U2" s="149" t="n">
        <x:v>23512.5</x:v>
      </x:c>
      <x:c r="V2" s="153" t="n">
        <x:v>45</x:v>
      </x:c>
      <x:c r="W2" s="153" t="n">
        <x:v>30</x:v>
      </x:c>
      <x:c r="X2" s="153" t="n">
        <x:v>35</x:v>
      </x:c>
    </x:row>
    <x:row r="3">
      <x:c r="A3" s="144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8"/>
      <x:c r="S3" s="150"/>
      <x:c r="T3" s="152"/>
      <x:c r="U3" s="150"/>
      <x:c r="V3" s="154"/>
      <x:c r="W3" s="154"/>
      <x:c r="X3" s="154"/>
    </x:row>
    <x:row r="4">
      <x:c r="A4" s="144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  <x:c r="Q4" s="146"/>
      <x:c r="R4" s="148"/>
      <x:c r="S4" s="150"/>
      <x:c r="T4" s="152"/>
      <x:c r="U4" s="150"/>
      <x:c r="V4" s="154"/>
      <x:c r="W4" s="154"/>
      <x:c r="X4" s="154"/>
    </x:row>
    <x:row r="5">
      <x:c r="A5" s="144"/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8"/>
      <x:c r="S5" s="150"/>
      <x:c r="T5" s="152"/>
      <x:c r="U5" s="150"/>
      <x:c r="V5" s="154"/>
      <x:c r="W5" s="154"/>
      <x:c r="X5" s="154"/>
    </x:row>
    <x:row r="6">
      <x:c r="A6" s="144"/>
      <x:c r="C6" s="146"/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8"/>
      <x:c r="S6" s="150"/>
      <x:c r="T6" s="152"/>
      <x:c r="U6" s="150"/>
      <x:c r="V6" s="154"/>
      <x:c r="W6" s="154"/>
      <x:c r="X6" s="154"/>
    </x:row>
    <x:row r="7">
      <x:c r="A7" s="144"/>
      <x:c r="C7" s="146"/>
      <x:c r="D7" s="146"/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8"/>
      <x:c r="S7" s="150"/>
      <x:c r="T7" s="152"/>
      <x:c r="U7" s="150"/>
      <x:c r="V7" s="154"/>
      <x:c r="W7" s="154"/>
      <x:c r="X7" s="154"/>
    </x:row>
    <x:row r="8">
      <x:c r="A8" s="144"/>
      <x:c r="C8" s="146"/>
      <x:c r="D8" s="146"/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8"/>
      <x:c r="S8" s="150"/>
      <x:c r="T8" s="152"/>
      <x:c r="U8" s="150"/>
      <x:c r="V8" s="154"/>
      <x:c r="W8" s="154"/>
      <x:c r="X8" s="154"/>
    </x:row>
    <x:row r="9">
      <x:c r="A9" s="144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8"/>
      <x:c r="S9" s="150"/>
      <x:c r="T9" s="152"/>
      <x:c r="U9" s="150"/>
      <x:c r="V9" s="154"/>
      <x:c r="W9" s="154"/>
      <x:c r="X9" s="154"/>
    </x:row>
    <x:row r="10">
      <x:c r="A10" s="144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8"/>
      <x:c r="S10" s="150"/>
      <x:c r="T10" s="152"/>
      <x:c r="U10" s="150"/>
      <x:c r="V10" s="154"/>
      <x:c r="W10" s="154"/>
      <x:c r="X10" s="154"/>
    </x:row>
    <x:row r="11">
      <x:c r="A11" s="144"/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8"/>
      <x:c r="S11" s="150"/>
      <x:c r="T11" s="152"/>
      <x:c r="U11" s="150"/>
      <x:c r="V11" s="154"/>
      <x:c r="W11" s="154"/>
      <x:c r="X11" s="154"/>
    </x:row>
    <x:row r="12">
      <x:c r="A12" s="144"/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8"/>
      <x:c r="S12" s="150"/>
      <x:c r="T12" s="152"/>
      <x:c r="U12" s="150"/>
      <x:c r="V12" s="154"/>
      <x:c r="W12" s="154"/>
      <x:c r="X12" s="154"/>
    </x:row>
    <x:row r="13">
      <x:c r="A13" s="144"/>
      <x:c r="C13" s="146"/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8"/>
      <x:c r="S13" s="150"/>
      <x:c r="T13" s="152"/>
      <x:c r="U13" s="150"/>
      <x:c r="V13" s="154"/>
      <x:c r="W13" s="154"/>
      <x:c r="X13" s="154"/>
    </x:row>
    <x:row r="14">
      <x:c r="A14" s="144"/>
      <x:c r="C14" s="146"/>
      <x:c r="D14" s="146"/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8"/>
      <x:c r="S14" s="150"/>
      <x:c r="T14" s="152"/>
      <x:c r="U14" s="150"/>
      <x:c r="V14" s="154"/>
      <x:c r="W14" s="154"/>
      <x:c r="X14" s="154"/>
    </x:row>
    <x:row r="15">
      <x:c r="A15" s="144"/>
      <x:c r="C15" s="146"/>
      <x:c r="D15" s="146"/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8"/>
      <x:c r="S15" s="150"/>
      <x:c r="T15" s="152"/>
      <x:c r="U15" s="150"/>
      <x:c r="V15" s="154"/>
      <x:c r="W15" s="154"/>
      <x:c r="X15" s="154"/>
    </x:row>
    <x:row r="16">
      <x:c r="A16" s="144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8"/>
      <x:c r="S16" s="150"/>
      <x:c r="T16" s="152"/>
      <x:c r="U16" s="150"/>
      <x:c r="V16" s="154"/>
      <x:c r="W16" s="154"/>
      <x:c r="X16" s="154"/>
    </x:row>
    <x:row r="17">
      <x:c r="A17" s="144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8"/>
      <x:c r="S17" s="150"/>
      <x:c r="T17" s="152"/>
      <x:c r="U17" s="150"/>
      <x:c r="V17" s="154"/>
      <x:c r="W17" s="154"/>
      <x:c r="X17" s="154"/>
    </x:row>
    <x:row r="18">
      <x:c r="A18" s="144"/>
      <x:c r="C18" s="146"/>
      <x:c r="D18" s="146"/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8"/>
      <x:c r="S18" s="150"/>
      <x:c r="T18" s="152"/>
      <x:c r="U18" s="150"/>
      <x:c r="V18" s="154"/>
      <x:c r="W18" s="154"/>
      <x:c r="X18" s="154"/>
    </x:row>
    <x:row r="19">
      <x:c r="A19" s="144"/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8"/>
      <x:c r="S19" s="150"/>
      <x:c r="T19" s="152"/>
      <x:c r="U19" s="150"/>
      <x:c r="V19" s="154"/>
      <x:c r="W19" s="154"/>
      <x:c r="X19" s="154"/>
    </x:row>
    <x:row r="20">
      <x:c r="A20" s="144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8"/>
      <x:c r="S20" s="150"/>
      <x:c r="T20" s="152"/>
      <x:c r="U20" s="150"/>
      <x:c r="V20" s="154"/>
      <x:c r="W20" s="154"/>
      <x:c r="X20" s="15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2" hidden="0" customWidth="1"/>
    <x:col min="6" max="6" width="14" hidden="0" customWidth="1"/>
    <x:col min="7" max="7" width="54" hidden="0" customWidth="1"/>
  </x:cols>
  <x:sheetData>
    <x:row r="1">
      <x:c r="A1" s="159" t="str">
        <x:v>Campo_Canonico</x:v>
      </x:c>
      <x:c r="B1" s="159" t="str">
        <x:v>Grupo_DRE</x:v>
      </x:c>
      <x:c r="C1" s="159" t="str">
        <x:v>Subgrupo</x:v>
      </x:c>
      <x:c r="D1" s="159" t="str">
        <x:v>Natureza</x:v>
      </x:c>
      <x:c r="E1" s="159" t="str">
        <x:v>Comportamento_Default</x:v>
      </x:c>
      <x:c r="F1" s="159" t="str">
        <x:v>Inclui_EBITDA</x:v>
      </x:c>
      <x:c r="G1" s="159" t="str">
        <x:v>Observacao</x:v>
      </x:c>
    </x:row>
    <x:row r="2" ht="34" customHeight="1">
      <x:c r="A2" s="19" t="str">
        <x:v>receita_bruta</x:v>
      </x:c>
      <x:c r="B2" s="19" t="str">
        <x:v>Receita</x:v>
      </x:c>
      <x:c r="C2" s="19" t="str">
        <x:v>Receita Bruta</x:v>
      </x:c>
      <x:c r="D2" s="19" t="str">
        <x:v>Receita</x:v>
      </x:c>
      <x:c r="E2" s="19" t="str">
        <x:v>Variável</x:v>
      </x:c>
      <x:c r="F2" s="19" t="str">
        <x:v>Sim</x:v>
      </x:c>
      <x:c r="G2" s="19" t="str">
        <x:v>Receita antes de impostos e deduções.</x:v>
      </x:c>
    </x:row>
    <x:row r="3" ht="34" customHeight="1">
      <x:c r="A3" s="19" t="str">
        <x:v>impostos_deducoes</x:v>
      </x:c>
      <x:c r="B3" s="19" t="str">
        <x:v>Receita</x:v>
      </x:c>
      <x:c r="C3" s="19" t="str">
        <x:v>Impostos e Deduções</x:v>
      </x:c>
      <x:c r="D3" s="19" t="str">
        <x:v>Dedução</x:v>
      </x:c>
      <x:c r="E3" s="19" t="str">
        <x:v>Variável</x:v>
      </x:c>
      <x:c r="F3" s="19" t="str">
        <x:v>Sim</x:v>
      </x:c>
      <x:c r="G3" s="19" t="str">
        <x:v>Tributos, devoluções e deduções da receita.</x:v>
      </x:c>
    </x:row>
    <x:row r="4" ht="34" customHeight="1">
      <x:c r="A4" s="19" t="str">
        <x:v>receita_liquida</x:v>
      </x:c>
      <x:c r="B4" s="19" t="str">
        <x:v>Receita</x:v>
      </x:c>
      <x:c r="C4" s="19" t="str">
        <x:v>Receita Líquida</x:v>
      </x:c>
      <x:c r="D4" s="19" t="str">
        <x:v>Receita</x:v>
      </x:c>
      <x:c r="E4" s="19" t="str">
        <x:v>Variável</x:v>
      </x:c>
      <x:c r="F4" s="19" t="str">
        <x:v>Sim</x:v>
      </x:c>
      <x:c r="G4" s="19" t="str">
        <x:v>Base principal do simulador financeiro.</x:v>
      </x:c>
    </x:row>
    <x:row r="5" ht="34" customHeight="1">
      <x:c r="A5" s="19" t="str">
        <x:v>insumos_mp</x:v>
      </x:c>
      <x:c r="B5" s="19" t="str">
        <x:v>Custo Industrial</x:v>
      </x:c>
      <x:c r="C5" s="19" t="str">
        <x:v>Insumos / Matéria-prima</x:v>
      </x:c>
      <x:c r="D5" s="19" t="str">
        <x:v>Insumo</x:v>
      </x:c>
      <x:c r="E5" s="19" t="str">
        <x:v>Variável</x:v>
      </x:c>
      <x:c r="F5" s="19" t="str">
        <x:v>Sim</x:v>
      </x:c>
      <x:c r="G5" s="19" t="str">
        <x:v>Materiais e insumos diretos.</x:v>
      </x:c>
    </x:row>
    <x:row r="6" ht="34" customHeight="1">
      <x:c r="A6" s="19" t="str">
        <x:v>mod</x:v>
      </x:c>
      <x:c r="B6" s="19" t="str">
        <x:v>Custo Industrial</x:v>
      </x:c>
      <x:c r="C6" s="19" t="str">
        <x:v>MOD</x:v>
      </x:c>
      <x:c r="D6" s="19" t="str">
        <x:v>Mão de obra</x:v>
      </x:c>
      <x:c r="E6" s="19" t="str">
        <x:v>Variável</x:v>
      </x:c>
      <x:c r="F6" s="19" t="str">
        <x:v>Sim</x:v>
      </x:c>
      <x:c r="G6" s="19" t="str">
        <x:v>Mão de obra direta.</x:v>
      </x:c>
    </x:row>
    <x:row r="7" ht="34" customHeight="1">
      <x:c r="A7" s="19" t="str">
        <x:v>ggf_frete</x:v>
      </x:c>
      <x:c r="B7" s="19" t="str">
        <x:v>GGF</x:v>
      </x:c>
      <x:c r="C7" s="19" t="str">
        <x:v>Frete</x:v>
      </x:c>
      <x:c r="D7" s="19" t="str">
        <x:v>GGF</x:v>
      </x:c>
      <x:c r="E7" s="19" t="str">
        <x:v>Variável</x:v>
      </x:c>
      <x:c r="F7" s="19" t="str">
        <x:v>Sim</x:v>
      </x:c>
      <x:c r="G7" s="19" t="str">
        <x:v>Frete classificado em GGF conforme modelo gerencial H2M.</x:v>
      </x:c>
    </x:row>
    <x:row r="8" ht="34" customHeight="1">
      <x:c r="A8" s="19" t="str">
        <x:v>ggf_energia</x:v>
      </x:c>
      <x:c r="B8" s="19" t="str">
        <x:v>GGF</x:v>
      </x:c>
      <x:c r="C8" s="19" t="str">
        <x:v>Energia</x:v>
      </x:c>
      <x:c r="D8" s="19" t="str">
        <x:v>GGF</x:v>
      </x:c>
      <x:c r="E8" s="19" t="str">
        <x:v>Variável</x:v>
      </x:c>
      <x:c r="F8" s="19" t="str">
        <x:v>Sim</x:v>
      </x:c>
      <x:c r="G8" s="19" t="str">
        <x:v>Energia industrial.</x:v>
      </x:c>
    </x:row>
    <x:row r="9" ht="34" customHeight="1">
      <x:c r="A9" s="19" t="str">
        <x:v>ggf_manutencao</x:v>
      </x:c>
      <x:c r="B9" s="19" t="str">
        <x:v>GGF</x:v>
      </x:c>
      <x:c r="C9" s="19" t="str">
        <x:v>Manutenção</x:v>
      </x:c>
      <x:c r="D9" s="19" t="str">
        <x:v>GGF</x:v>
      </x:c>
      <x:c r="E9" s="19" t="str">
        <x:v>Misto</x:v>
      </x:c>
      <x:c r="F9" s="19" t="str">
        <x:v>Sim</x:v>
      </x:c>
      <x:c r="G9" s="19" t="str">
        <x:v>Manutenção fabril.</x:v>
      </x:c>
    </x:row>
    <x:row r="10" ht="34" customHeight="1">
      <x:c r="A10" s="19" t="str">
        <x:v>ggf_contratos_servicos</x:v>
      </x:c>
      <x:c r="B10" s="19" t="str">
        <x:v>GGF</x:v>
      </x:c>
      <x:c r="C10" s="19" t="str">
        <x:v>Contratos e Serviços</x:v>
      </x:c>
      <x:c r="D10" s="19" t="str">
        <x:v>GGF</x:v>
      </x:c>
      <x:c r="E10" s="19" t="str">
        <x:v>Misto</x:v>
      </x:c>
      <x:c r="F10" s="19" t="str">
        <x:v>Sim</x:v>
      </x:c>
      <x:c r="G10" s="19" t="str">
        <x:v>Serviços e contratos ligados à operação/fábrica.</x:v>
      </x:c>
    </x:row>
    <x:row r="11" ht="34" customHeight="1">
      <x:c r="A11" s="19" t="str">
        <x:v>ggf_outros</x:v>
      </x:c>
      <x:c r="B11" s="19" t="str">
        <x:v>GGF</x:v>
      </x:c>
      <x:c r="C11" s="19" t="str">
        <x:v>Outros GGF</x:v>
      </x:c>
      <x:c r="D11" s="19" t="str">
        <x:v>GGF</x:v>
      </x:c>
      <x:c r="E11" s="19" t="str">
        <x:v>Misto</x:v>
      </x:c>
      <x:c r="F11" s="19" t="str">
        <x:v>Sim</x:v>
      </x:c>
      <x:c r="G11" s="19" t="str">
        <x:v>Demais gastos gerais de fabricação.</x:v>
      </x:c>
    </x:row>
    <x:row r="12" ht="34" customHeight="1">
      <x:c r="A12" s="19" t="str">
        <x:v>custos_fixos_industriais</x:v>
      </x:c>
      <x:c r="B12" s="19" t="str">
        <x:v>Estrutura Industrial</x:v>
      </x:c>
      <x:c r="C12" s="19" t="str">
        <x:v>Custos Fixos Industriais</x:v>
      </x:c>
      <x:c r="D12" s="19" t="str">
        <x:v>Custo</x:v>
      </x:c>
      <x:c r="E12" s="19" t="str">
        <x:v>Fixo</x:v>
      </x:c>
      <x:c r="F12" s="19" t="str">
        <x:v>Sim</x:v>
      </x:c>
      <x:c r="G12" s="19" t="str">
        <x:v>Estrutura fabril não capturada nos GGF acima.</x:v>
      </x:c>
    </x:row>
    <x:row r="13" ht="34" customHeight="1">
      <x:c r="A13" s="19" t="str">
        <x:v>desp_administrativas</x:v>
      </x:c>
      <x:c r="B13" s="19" t="str">
        <x:v>Despesas</x:v>
      </x:c>
      <x:c r="C13" s="19" t="str">
        <x:v>Administrativas</x:v>
      </x:c>
      <x:c r="D13" s="19" t="str">
        <x:v>Despesa</x:v>
      </x:c>
      <x:c r="E13" s="19" t="str">
        <x:v>Fixo</x:v>
      </x:c>
      <x:c r="F13" s="19" t="str">
        <x:v>Sim</x:v>
      </x:c>
      <x:c r="G13" s="19" t="str">
        <x:v>Despesas administrativas.</x:v>
      </x:c>
    </x:row>
    <x:row r="14" ht="34" customHeight="1">
      <x:c r="A14" s="19" t="str">
        <x:v>desp_comerciais</x:v>
      </x:c>
      <x:c r="B14" s="19" t="str">
        <x:v>Despesas</x:v>
      </x:c>
      <x:c r="C14" s="19" t="str">
        <x:v>Comerciais</x:v>
      </x:c>
      <x:c r="D14" s="19" t="str">
        <x:v>Despesa</x:v>
      </x:c>
      <x:c r="E14" s="19" t="str">
        <x:v>Misto</x:v>
      </x:c>
      <x:c r="F14" s="19" t="str">
        <x:v>Sim</x:v>
      </x:c>
      <x:c r="G14" s="19" t="str">
        <x:v>Despesas comerciais; preço/mix continuam tratados separadamente.</x:v>
      </x:c>
    </x:row>
    <x:row r="15" ht="34" customHeight="1">
      <x:c r="A15" s="19" t="str">
        <x:v>desp_logisticas</x:v>
      </x:c>
      <x:c r="B15" s="19" t="str">
        <x:v>Despesas</x:v>
      </x:c>
      <x:c r="C15" s="19" t="str">
        <x:v>Logísticas (sem frete)</x:v>
      </x:c>
      <x:c r="D15" s="19" t="str">
        <x:v>Despesa</x:v>
      </x:c>
      <x:c r="E15" s="19" t="str">
        <x:v>Misto</x:v>
      </x:c>
      <x:c r="F15" s="19" t="str">
        <x:v>Sim</x:v>
      </x:c>
      <x:c r="G15" s="19" t="str">
        <x:v>Despesas logísticas que não sejam o frete classificado em GGF.</x:v>
      </x:c>
    </x:row>
    <x:row r="16" ht="34" customHeight="1">
      <x:c r="A16" s="19" t="str">
        <x:v>outros_opex</x:v>
      </x:c>
      <x:c r="B16" s="19" t="str">
        <x:v>Despesas</x:v>
      </x:c>
      <x:c r="C16" s="19" t="str">
        <x:v>Outros OPEX</x:v>
      </x:c>
      <x:c r="D16" s="19" t="str">
        <x:v>Despesa</x:v>
      </x:c>
      <x:c r="E16" s="19" t="str">
        <x:v>Misto</x:v>
      </x:c>
      <x:c r="F16" s="19" t="str">
        <x:v>Sim</x:v>
      </x:c>
      <x:c r="G16" s="19" t="str">
        <x:v>Demais despesas operacionais antes de D&amp;A.</x:v>
      </x:c>
    </x:row>
  </x:sheetData>
  <x:pageMargins left="0.7" right="0.7" top="0.75" bottom="0.75" header="0.3" footer="0.3"/>
</x:worksheet>
</file>